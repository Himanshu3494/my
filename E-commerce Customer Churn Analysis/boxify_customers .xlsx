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manshu\OneDrive\Desktop\sarp\Pro Data\"/>
    </mc:Choice>
  </mc:AlternateContent>
  <bookViews>
    <workbookView xWindow="0" yWindow="0" windowWidth="20490" windowHeight="7635"/>
  </bookViews>
  <sheets>
    <sheet name="boxify_customers " sheetId="1" r:id="rId1"/>
  </sheets>
  <definedNames>
    <definedName name="_xlnm._FilterDatabase" localSheetId="0" hidden="1">'boxify_customers '!$A$1:$M$1201</definedName>
  </definedName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2" i="1"/>
</calcChain>
</file>

<file path=xl/sharedStrings.xml><?xml version="1.0" encoding="utf-8"?>
<sst xmlns="http://schemas.openxmlformats.org/spreadsheetml/2006/main" count="6014" uniqueCount="1233">
  <si>
    <t>CustomerID</t>
  </si>
  <si>
    <t>JoinDate</t>
  </si>
  <si>
    <t>CancelDate</t>
  </si>
  <si>
    <t>Age</t>
  </si>
  <si>
    <t>Gender</t>
  </si>
  <si>
    <t>Location</t>
  </si>
  <si>
    <t>SubscriptionType</t>
  </si>
  <si>
    <t>TotalSpent</t>
  </si>
  <si>
    <t>BoxesReceived</t>
  </si>
  <si>
    <t>EngagementScore</t>
  </si>
  <si>
    <t>PaymentMode</t>
  </si>
  <si>
    <t>CUST_1179</t>
  </si>
  <si>
    <t>Male</t>
  </si>
  <si>
    <t>Mumbai</t>
  </si>
  <si>
    <t>Annual</t>
  </si>
  <si>
    <t>Other</t>
  </si>
  <si>
    <t>CUST_0866</t>
  </si>
  <si>
    <t>Hyderabad</t>
  </si>
  <si>
    <t>Monthly</t>
  </si>
  <si>
    <t>Card</t>
  </si>
  <si>
    <t>CUST_0102</t>
  </si>
  <si>
    <t>Female</t>
  </si>
  <si>
    <t>Ahmedabad</t>
  </si>
  <si>
    <t>UPI</t>
  </si>
  <si>
    <t>CUST_0440</t>
  </si>
  <si>
    <t>PayPal</t>
  </si>
  <si>
    <t>CUST_0059</t>
  </si>
  <si>
    <t>Chennai</t>
  </si>
  <si>
    <t>CUST_1121</t>
  </si>
  <si>
    <t>Delhi</t>
  </si>
  <si>
    <t>Quarterly</t>
  </si>
  <si>
    <t>CUST_0324</t>
  </si>
  <si>
    <t>Kolkata</t>
  </si>
  <si>
    <t>CUST_0975</t>
  </si>
  <si>
    <t>CUST_0412</t>
  </si>
  <si>
    <t>CUST_0856</t>
  </si>
  <si>
    <t>CUST_0821</t>
  </si>
  <si>
    <t>CUST_0045</t>
  </si>
  <si>
    <t>Lucknow</t>
  </si>
  <si>
    <t>CUST_0050</t>
  </si>
  <si>
    <t>CUST_0850</t>
  </si>
  <si>
    <t>Pune</t>
  </si>
  <si>
    <t>CUST_0241</t>
  </si>
  <si>
    <t>CUST_0171</t>
  </si>
  <si>
    <t>CUST_0524</t>
  </si>
  <si>
    <t>CUST_0766</t>
  </si>
  <si>
    <t>CUST_0839</t>
  </si>
  <si>
    <t>Jaipur</t>
  </si>
  <si>
    <t>CUST_0424</t>
  </si>
  <si>
    <t>CUST_0381</t>
  </si>
  <si>
    <t>CUST_0610</t>
  </si>
  <si>
    <t>CUST_0677</t>
  </si>
  <si>
    <t>CUST_0345</t>
  </si>
  <si>
    <t>CUST_0110</t>
  </si>
  <si>
    <t>CUST_0278</t>
  </si>
  <si>
    <t>CUST_0678</t>
  </si>
  <si>
    <t>CUST_0571</t>
  </si>
  <si>
    <t>Bengaluru</t>
  </si>
  <si>
    <t>CUST_0359</t>
  </si>
  <si>
    <t>CUST_0599</t>
  </si>
  <si>
    <t>CUST_0391</t>
  </si>
  <si>
    <t>CUST_0894</t>
  </si>
  <si>
    <t>CUST_0693</t>
  </si>
  <si>
    <t>CUST_0728</t>
  </si>
  <si>
    <t>CUST_0363</t>
  </si>
  <si>
    <t>CUST_0597</t>
  </si>
  <si>
    <t>CUST_0428</t>
  </si>
  <si>
    <t>CUST_0071</t>
  </si>
  <si>
    <t>CUST_0322</t>
  </si>
  <si>
    <t>CUST_0653</t>
  </si>
  <si>
    <t>CUST_1066</t>
  </si>
  <si>
    <t>CUST_0108</t>
  </si>
  <si>
    <t>CUST_1109</t>
  </si>
  <si>
    <t>CUST_0356</t>
  </si>
  <si>
    <t>CUST_0951</t>
  </si>
  <si>
    <t>CUST_0343</t>
  </si>
  <si>
    <t>CUST_0355</t>
  </si>
  <si>
    <t>CUST_0024</t>
  </si>
  <si>
    <t>CUST_0044</t>
  </si>
  <si>
    <t>CUST_0244</t>
  </si>
  <si>
    <t>CUST_0738</t>
  </si>
  <si>
    <t>CUST_1136</t>
  </si>
  <si>
    <t>CUST_0368</t>
  </si>
  <si>
    <t>CUST_0164</t>
  </si>
  <si>
    <t>CUST_1116</t>
  </si>
  <si>
    <t>CUST_0333</t>
  </si>
  <si>
    <t>CUST_0989</t>
  </si>
  <si>
    <t>CUST_1173</t>
  </si>
  <si>
    <t>CUST_1002</t>
  </si>
  <si>
    <t>CUST_0378</t>
  </si>
  <si>
    <t>CUST_0310</t>
  </si>
  <si>
    <t>CUST_0156</t>
  </si>
  <si>
    <t>CUST_0211</t>
  </si>
  <si>
    <t>CUST_0087</t>
  </si>
  <si>
    <t>CUST_0169</t>
  </si>
  <si>
    <t>CUST_0995</t>
  </si>
  <si>
    <t>CUST_0052</t>
  </si>
  <si>
    <t>CUST_0439</t>
  </si>
  <si>
    <t>CUST_0550</t>
  </si>
  <si>
    <t>CUST_0491</t>
  </si>
  <si>
    <t>CUST_0426</t>
  </si>
  <si>
    <t>CUST_0136</t>
  </si>
  <si>
    <t>CUST_1192</t>
  </si>
  <si>
    <t>CUST_0055</t>
  </si>
  <si>
    <t>CUST_0079</t>
  </si>
  <si>
    <t>CUST_0431</t>
  </si>
  <si>
    <t>CUST_0185</t>
  </si>
  <si>
    <t>CUST_0057</t>
  </si>
  <si>
    <t>CUST_0943</t>
  </si>
  <si>
    <t>CUST_0851</t>
  </si>
  <si>
    <t>CUST_1164</t>
  </si>
  <si>
    <t>CUST_0219</t>
  </si>
  <si>
    <t>CUST_0845</t>
  </si>
  <si>
    <t>CUST_0114</t>
  </si>
  <si>
    <t>CUST_0549</t>
  </si>
  <si>
    <t>CUST_1019</t>
  </si>
  <si>
    <t>CUST_1073</t>
  </si>
  <si>
    <t>CUST_0175</t>
  </si>
  <si>
    <t>CUST_1023</t>
  </si>
  <si>
    <t>CUST_0616</t>
  </si>
  <si>
    <t>CUST_0514</t>
  </si>
  <si>
    <t>CUST_0462</t>
  </si>
  <si>
    <t>CUST_0287</t>
  </si>
  <si>
    <t>CUST_0382</t>
  </si>
  <si>
    <t>CUST_1008</t>
  </si>
  <si>
    <t>CUST_0671</t>
  </si>
  <si>
    <t>CUST_0535</t>
  </si>
  <si>
    <t>CUST_0910</t>
  </si>
  <si>
    <t>CUST_0293</t>
  </si>
  <si>
    <t>CUST_0124</t>
  </si>
  <si>
    <t>CUST_0583</t>
  </si>
  <si>
    <t>CUST_0141</t>
  </si>
  <si>
    <t>CUST_0736</t>
  </si>
  <si>
    <t>CUST_0082</t>
  </si>
  <si>
    <t>CUST_0882</t>
  </si>
  <si>
    <t>CUST_0740</t>
  </si>
  <si>
    <t>CUST_1102</t>
  </si>
  <si>
    <t>CUST_0909</t>
  </si>
  <si>
    <t>CUST_1167</t>
  </si>
  <si>
    <t>CUST_0937</t>
  </si>
  <si>
    <t>CUST_0372</t>
  </si>
  <si>
    <t>CUST_0890</t>
  </si>
  <si>
    <t>CUST_0157</t>
  </si>
  <si>
    <t>CUST_0992</t>
  </si>
  <si>
    <t>CUST_0622</t>
  </si>
  <si>
    <t>CUST_1038</t>
  </si>
  <si>
    <t>CUST_0245</t>
  </si>
  <si>
    <t>CUST_0159</t>
  </si>
  <si>
    <t>CUST_0746</t>
  </si>
  <si>
    <t>CUST_0193</t>
  </si>
  <si>
    <t>CUST_0534</t>
  </si>
  <si>
    <t>CUST_0904</t>
  </si>
  <si>
    <t>CUST_1004</t>
  </si>
  <si>
    <t>CUST_1070</t>
  </si>
  <si>
    <t>CUST_0414</t>
  </si>
  <si>
    <t>CUST_1187</t>
  </si>
  <si>
    <t>CUST_0328</t>
  </si>
  <si>
    <t>CUST_0129</t>
  </si>
  <si>
    <t>CUST_0695</t>
  </si>
  <si>
    <t>CUST_0631</t>
  </si>
  <si>
    <t>CUST_0275</t>
  </si>
  <si>
    <t>CUST_1148</t>
  </si>
  <si>
    <t>CUST_0309</t>
  </si>
  <si>
    <t>CUST_0234</t>
  </si>
  <si>
    <t>CUST_1048</t>
  </si>
  <si>
    <t>CUST_0623</t>
  </si>
  <si>
    <t>CUST_0644</t>
  </si>
  <si>
    <t>CUST_0479</t>
  </si>
  <si>
    <t>CUST_0472</t>
  </si>
  <si>
    <t>CUST_0926</t>
  </si>
  <si>
    <t>CUST_1098</t>
  </si>
  <si>
    <t>CUST_0627</t>
  </si>
  <si>
    <t>CUST_0395</t>
  </si>
  <si>
    <t>CUST_0637</t>
  </si>
  <si>
    <t>CUST_0768</t>
  </si>
  <si>
    <t>CUST_0533</t>
  </si>
  <si>
    <t>CUST_0718</t>
  </si>
  <si>
    <t>CUST_0667</t>
  </si>
  <si>
    <t>CUST_0598</t>
  </si>
  <si>
    <t>CUST_0482</t>
  </si>
  <si>
    <t>CUST_1103</t>
  </si>
  <si>
    <t>CUST_0315</t>
  </si>
  <si>
    <t>CUST_0729</t>
  </si>
  <si>
    <t>CUST_0210</t>
  </si>
  <si>
    <t>CUST_0934</t>
  </si>
  <si>
    <t>CUST_0434</t>
  </si>
  <si>
    <t>CUST_0329</t>
  </si>
  <si>
    <t>CUST_0261</t>
  </si>
  <si>
    <t>CUST_1117</t>
  </si>
  <si>
    <t>CUST_0307</t>
  </si>
  <si>
    <t>CUST_1067</t>
  </si>
  <si>
    <t>CUST_0928</t>
  </si>
  <si>
    <t>CUST_1025</t>
  </si>
  <si>
    <t>CUST_0271</t>
  </si>
  <si>
    <t>CUST_0291</t>
  </si>
  <si>
    <t>CUST_0813</t>
  </si>
  <si>
    <t>CUST_0097</t>
  </si>
  <si>
    <t>CUST_0888</t>
  </si>
  <si>
    <t>CUST_0819</t>
  </si>
  <si>
    <t>CUST_0032</t>
  </si>
  <si>
    <t>CUST_0763</t>
  </si>
  <si>
    <t>CUST_0954</t>
  </si>
  <si>
    <t>CUST_0320</t>
  </si>
  <si>
    <t>CUST_0299</t>
  </si>
  <si>
    <t>CUST_0200</t>
  </si>
  <si>
    <t>CUST_0561</t>
  </si>
  <si>
    <t>CUST_0179</t>
  </si>
  <si>
    <t>CUST_1132</t>
  </si>
  <si>
    <t>CUST_0089</t>
  </si>
  <si>
    <t>CUST_0788</t>
  </si>
  <si>
    <t>CUST_0725</t>
  </si>
  <si>
    <t>CUST_0827</t>
  </si>
  <si>
    <t>CUST_0209</t>
  </si>
  <si>
    <t>CUST_1040</t>
  </si>
  <si>
    <t>CUST_0297</t>
  </si>
  <si>
    <t>CUST_0998</t>
  </si>
  <si>
    <t>CUST_0498</t>
  </si>
  <si>
    <t>CUST_0835</t>
  </si>
  <si>
    <t>CUST_0430</t>
  </si>
  <si>
    <t>CUST_0507</t>
  </si>
  <si>
    <t>CUST_0831</t>
  </si>
  <si>
    <t>CUST_0694</t>
  </si>
  <si>
    <t>CUST_0011</t>
  </si>
  <si>
    <t>CUST_0848</t>
  </si>
  <si>
    <t>CUST_0463</t>
  </si>
  <si>
    <t>CUST_0199</t>
  </si>
  <si>
    <t>CUST_0060</t>
  </si>
  <si>
    <t>CUST_0907</t>
  </si>
  <si>
    <t>CUST_0997</t>
  </si>
  <si>
    <t>CUST_0276</t>
  </si>
  <si>
    <t>CUST_0809</t>
  </si>
  <si>
    <t>CUST_0908</t>
  </si>
  <si>
    <t>CUST_0658</t>
  </si>
  <si>
    <t>CUST_0957</t>
  </si>
  <si>
    <t>CUST_0886</t>
  </si>
  <si>
    <t>CUST_0221</t>
  </si>
  <si>
    <t>CUST_0789</t>
  </si>
  <si>
    <t>CUST_0712</t>
  </si>
  <si>
    <t>CUST_0714</t>
  </si>
  <si>
    <t>CUST_1113</t>
  </si>
  <si>
    <t>CUST_1191</t>
  </si>
  <si>
    <t>CUST_0790</t>
  </si>
  <si>
    <t>CUST_0416</t>
  </si>
  <si>
    <t>CUST_0899</t>
  </si>
  <si>
    <t>CUST_0935</t>
  </si>
  <si>
    <t>CUST_0266</t>
  </si>
  <si>
    <t>CUST_0632</t>
  </si>
  <si>
    <t>CUST_0248</t>
  </si>
  <si>
    <t>CUST_0683</t>
  </si>
  <si>
    <t>CUST_0559</t>
  </si>
  <si>
    <t>CUST_1137</t>
  </si>
  <si>
    <t>CUST_0968</t>
  </si>
  <si>
    <t>CUST_1005</t>
  </si>
  <si>
    <t>CUST_0985</t>
  </si>
  <si>
    <t>CUST_0295</t>
  </si>
  <si>
    <t>CUST_0520</t>
  </si>
  <si>
    <t>CUST_0771</t>
  </si>
  <si>
    <t>CUST_0084</t>
  </si>
  <si>
    <t>CUST_0232</t>
  </si>
  <si>
    <t>CUST_0621</t>
  </si>
  <si>
    <t>CUST_0334</t>
  </si>
  <si>
    <t>CUST_0130</t>
  </si>
  <si>
    <t>CUST_1012</t>
  </si>
  <si>
    <t>CUST_0645</t>
  </si>
  <si>
    <t>CUST_0974</t>
  </si>
  <si>
    <t>CUST_0383</t>
  </si>
  <si>
    <t>CUST_0868</t>
  </si>
  <si>
    <t>CUST_0543</t>
  </si>
  <si>
    <t>CUST_1194</t>
  </si>
  <si>
    <t>CUST_0875</t>
  </si>
  <si>
    <t>CUST_0332</t>
  </si>
  <si>
    <t>CUST_0410</t>
  </si>
  <si>
    <t>CUST_0077</t>
  </si>
  <si>
    <t>CUST_0869</t>
  </si>
  <si>
    <t>CUST_0139</t>
  </si>
  <si>
    <t>CUST_0544</t>
  </si>
  <si>
    <t>CUST_0674</t>
  </si>
  <si>
    <t>CUST_0921</t>
  </si>
  <si>
    <t>CUST_0064</t>
  </si>
  <si>
    <t>CUST_0142</t>
  </si>
  <si>
    <t>CUST_0717</t>
  </si>
  <si>
    <t>CUST_0377</t>
  </si>
  <si>
    <t>CUST_0364</t>
  </si>
  <si>
    <t>CUST_0140</t>
  </si>
  <si>
    <t>CUST_0885</t>
  </si>
  <si>
    <t>CUST_1042</t>
  </si>
  <si>
    <t>CUST_0225</t>
  </si>
  <si>
    <t>CUST_0515</t>
  </si>
  <si>
    <t>CUST_0267</t>
  </si>
  <si>
    <t>CUST_1170</t>
  </si>
  <si>
    <t>CUST_0487</t>
  </si>
  <si>
    <t>CUST_0353</t>
  </si>
  <si>
    <t>CUST_1006</t>
  </si>
  <si>
    <t>CUST_0618</t>
  </si>
  <si>
    <t>CUST_0668</t>
  </si>
  <si>
    <t>CUST_0775</t>
  </si>
  <si>
    <t>CUST_0554</t>
  </si>
  <si>
    <t>CUST_0576</t>
  </si>
  <si>
    <t>CUST_0915</t>
  </si>
  <si>
    <t>CUST_0466</t>
  </si>
  <si>
    <t>CUST_0591</t>
  </si>
  <si>
    <t>CUST_0765</t>
  </si>
  <si>
    <t>CUST_0635</t>
  </si>
  <si>
    <t>CUST_0838</t>
  </si>
  <si>
    <t>CUST_0290</t>
  </si>
  <si>
    <t>CUST_0040</t>
  </si>
  <si>
    <t>CUST_0031</t>
  </si>
  <si>
    <t>CUST_0243</t>
  </si>
  <si>
    <t>CUST_0429</t>
  </si>
  <si>
    <t>CUST_0137</t>
  </si>
  <si>
    <t>CUST_1101</t>
  </si>
  <si>
    <t>CUST_0865</t>
  </si>
  <si>
    <t>CUST_0004</t>
  </si>
  <si>
    <t>CUST_0833</t>
  </si>
  <si>
    <t>CUST_0603</t>
  </si>
  <si>
    <t>CUST_1034</t>
  </si>
  <si>
    <t>CUST_0655</t>
  </si>
  <si>
    <t>CUST_0844</t>
  </si>
  <si>
    <t>CUST_0784</t>
  </si>
  <si>
    <t>CUST_1074</t>
  </si>
  <si>
    <t>CUST_0443</t>
  </si>
  <si>
    <t>CUST_1178</t>
  </si>
  <si>
    <t>CUST_0436</t>
  </si>
  <si>
    <t>CUST_1169</t>
  </si>
  <si>
    <t>CUST_0101</t>
  </si>
  <si>
    <t>CUST_0773</t>
  </si>
  <si>
    <t>CUST_0495</t>
  </si>
  <si>
    <t>CUST_1028</t>
  </si>
  <si>
    <t>CUST_0807</t>
  </si>
  <si>
    <t>CUST_1142</t>
  </si>
  <si>
    <t>CUST_0846</t>
  </si>
  <si>
    <t>CUST_0987</t>
  </si>
  <si>
    <t>CUST_0228</t>
  </si>
  <si>
    <t>CUST_1193</t>
  </si>
  <si>
    <t>CUST_0672</t>
  </si>
  <si>
    <t>CUST_0859</t>
  </si>
  <si>
    <t>CUST_0925</t>
  </si>
  <si>
    <t>CUST_0067</t>
  </si>
  <si>
    <t>CUST_0068</t>
  </si>
  <si>
    <t>CUST_0817</t>
  </si>
  <si>
    <t>CUST_0212</t>
  </si>
  <si>
    <t>CUST_0013</t>
  </si>
  <si>
    <t>CUST_0494</t>
  </si>
  <si>
    <t>CUST_1165</t>
  </si>
  <si>
    <t>CUST_0300</t>
  </si>
  <si>
    <t>CUST_0411</t>
  </si>
  <si>
    <t>CUST_0757</t>
  </si>
  <si>
    <t>CUST_1075</t>
  </si>
  <si>
    <t>CUST_0696</t>
  </si>
  <si>
    <t>CUST_1151</t>
  </si>
  <si>
    <t>CUST_0724</t>
  </si>
  <si>
    <t>CUST_1016</t>
  </si>
  <si>
    <t>CUST_0528</t>
  </si>
  <si>
    <t>CUST_0600</t>
  </si>
  <si>
    <t>CUST_1120</t>
  </si>
  <si>
    <t>CUST_0567</t>
  </si>
  <si>
    <t>CUST_0731</t>
  </si>
  <si>
    <t>CUST_0274</t>
  </si>
  <si>
    <t>CUST_0967</t>
  </si>
  <si>
    <t>CUST_0238</t>
  </si>
  <si>
    <t>CUST_0406</t>
  </si>
  <si>
    <t>CUST_0003</t>
  </si>
  <si>
    <t>CUST_0007</t>
  </si>
  <si>
    <t>CUST_0312</t>
  </si>
  <si>
    <t>CUST_1091</t>
  </si>
  <si>
    <t>CUST_0452</t>
  </si>
  <si>
    <t>CUST_0722</t>
  </si>
  <si>
    <t>CUST_0216</t>
  </si>
  <si>
    <t>CUST_1086</t>
  </si>
  <si>
    <t>CUST_0028</t>
  </si>
  <si>
    <t>CUST_1158</t>
  </si>
  <si>
    <t>CUST_0362</t>
  </si>
  <si>
    <t>CUST_0823</t>
  </si>
  <si>
    <t>CUST_0781</t>
  </si>
  <si>
    <t>CUST_0629</t>
  </si>
  <si>
    <t>CUST_0454</t>
  </si>
  <si>
    <t>CUST_0739</t>
  </si>
  <si>
    <t>CUST_0536</t>
  </si>
  <si>
    <t>CUST_1050</t>
  </si>
  <si>
    <t>CUST_0399</t>
  </si>
  <si>
    <t>CUST_0257</t>
  </si>
  <si>
    <t>CUST_0292</t>
  </si>
  <si>
    <t>CUST_0026</t>
  </si>
  <si>
    <t>CUST_0337</t>
  </si>
  <si>
    <t>CUST_0585</t>
  </si>
  <si>
    <t>CUST_0048</t>
  </si>
  <si>
    <t>CUST_0319</t>
  </si>
  <si>
    <t>CUST_0107</t>
  </si>
  <si>
    <t>CUST_0799</t>
  </si>
  <si>
    <t>CUST_0056</t>
  </si>
  <si>
    <t>CUST_0523</t>
  </si>
  <si>
    <t>CUST_0214</t>
  </si>
  <si>
    <t>CUST_0121</t>
  </si>
  <si>
    <t>CUST_0918</t>
  </si>
  <si>
    <t>CUST_1068</t>
  </si>
  <si>
    <t>CUST_1118</t>
  </si>
  <si>
    <t>CUST_0073</t>
  </si>
  <si>
    <t>CUST_0948</t>
  </si>
  <si>
    <t>CUST_0747</t>
  </si>
  <si>
    <t>CUST_0716</t>
  </si>
  <si>
    <t>CUST_0558</t>
  </si>
  <si>
    <t>CUST_1082</t>
  </si>
  <si>
    <t>CUST_1046</t>
  </si>
  <si>
    <t>CUST_0553</t>
  </si>
  <si>
    <t>CUST_0562</t>
  </si>
  <si>
    <t>CUST_0425</t>
  </si>
  <si>
    <t>CUST_1014</t>
  </si>
  <si>
    <t>CUST_0326</t>
  </si>
  <si>
    <t>CUST_0924</t>
  </si>
  <si>
    <t>CUST_0317</t>
  </si>
  <si>
    <t>CUST_0804</t>
  </si>
  <si>
    <t>CUST_1163</t>
  </si>
  <si>
    <t>CUST_0529</t>
  </si>
  <si>
    <t>CUST_0837</t>
  </si>
  <si>
    <t>CUST_0715</t>
  </si>
  <si>
    <t>CUST_0901</t>
  </si>
  <si>
    <t>CUST_0061</t>
  </si>
  <si>
    <t>CUST_0723</t>
  </si>
  <si>
    <t>CUST_0093</t>
  </si>
  <si>
    <t>CUST_0858</t>
  </si>
  <si>
    <t>CUST_0619</t>
  </si>
  <si>
    <t>CUST_0352</t>
  </si>
  <si>
    <t>CUST_0933</t>
  </si>
  <si>
    <t>CUST_0281</t>
  </si>
  <si>
    <t>CUST_0421</t>
  </si>
  <si>
    <t>CUST_1115</t>
  </si>
  <si>
    <t>CUST_0360</t>
  </si>
  <si>
    <t>CUST_0423</t>
  </si>
  <si>
    <t>CUST_0679</t>
  </si>
  <si>
    <t>CUST_0527</t>
  </si>
  <si>
    <t>CUST_0478</t>
  </si>
  <si>
    <t>CUST_1095</t>
  </si>
  <si>
    <t>CUST_0183</t>
  </si>
  <si>
    <t>CUST_1092</t>
  </si>
  <si>
    <t>CUST_0433</t>
  </si>
  <si>
    <t>CUST_0111</t>
  </si>
  <si>
    <t>CUST_0371</t>
  </si>
  <si>
    <t>CUST_0240</t>
  </si>
  <si>
    <t>CUST_0709</t>
  </si>
  <si>
    <t>CUST_0630</t>
  </si>
  <si>
    <t>CUST_0594</t>
  </si>
  <si>
    <t>CUST_0486</t>
  </si>
  <si>
    <t>CUST_0701</t>
  </si>
  <si>
    <t>CUST_0262</t>
  </si>
  <si>
    <t>CUST_0480</t>
  </si>
  <si>
    <t>CUST_0650</t>
  </si>
  <si>
    <t>CUST_0340</t>
  </si>
  <si>
    <t>CUST_0669</t>
  </si>
  <si>
    <t>CUST_0552</t>
  </si>
  <si>
    <t>CUST_0459</t>
  </si>
  <si>
    <t>CUST_0184</t>
  </si>
  <si>
    <t>CUST_0138</t>
  </si>
  <si>
    <t>CUST_1161</t>
  </si>
  <si>
    <t>CUST_0707</t>
  </si>
  <si>
    <t>CUST_0582</t>
  </si>
  <si>
    <t>CUST_0081</t>
  </si>
  <si>
    <t>CUST_0769</t>
  </si>
  <si>
    <t>CUST_0870</t>
  </si>
  <si>
    <t>CUST_0762</t>
  </si>
  <si>
    <t>CUST_0030</t>
  </si>
  <si>
    <t>CUST_0542</t>
  </si>
  <si>
    <t>CUST_0166</t>
  </si>
  <si>
    <t>CUST_0249</t>
  </si>
  <si>
    <t>CUST_0308</t>
  </si>
  <si>
    <t>CUST_0448</t>
  </si>
  <si>
    <t>CUST_0347</t>
  </si>
  <si>
    <t>CUST_0335</t>
  </si>
  <si>
    <t>CUST_0286</t>
  </si>
  <si>
    <t>CUST_0950</t>
  </si>
  <si>
    <t>CUST_0098</t>
  </si>
  <si>
    <t>CUST_0468</t>
  </si>
  <si>
    <t>CUST_1037</t>
  </si>
  <si>
    <t>CUST_0913</t>
  </si>
  <si>
    <t>CUST_0756</t>
  </si>
  <si>
    <t>CUST_0945</t>
  </si>
  <si>
    <t>CUST_0614</t>
  </si>
  <si>
    <t>CUST_0802</t>
  </si>
  <si>
    <t>CUST_0758</t>
  </si>
  <si>
    <t>CUST_0689</t>
  </si>
  <si>
    <t>CUST_0066</t>
  </si>
  <si>
    <t>CUST_0794</t>
  </si>
  <si>
    <t>CUST_0744</t>
  </si>
  <si>
    <t>CUST_0568</t>
  </si>
  <si>
    <t>CUST_1084</t>
  </si>
  <si>
    <t>CUST_1099</t>
  </si>
  <si>
    <t>CUST_0303</t>
  </si>
  <si>
    <t>CUST_0255</t>
  </si>
  <si>
    <t>CUST_0959</t>
  </si>
  <si>
    <t>CUST_1024</t>
  </si>
  <si>
    <t>CUST_0313</t>
  </si>
  <si>
    <t>CUST_0530</t>
  </si>
  <si>
    <t>CUST_0222</t>
  </si>
  <si>
    <t>CUST_0389</t>
  </si>
  <si>
    <t>CUST_0236</t>
  </si>
  <si>
    <t>CUST_0810</t>
  </si>
  <si>
    <t>CUST_0483</t>
  </si>
  <si>
    <t>CUST_0713</t>
  </si>
  <si>
    <t>CUST_0306</t>
  </si>
  <si>
    <t>CUST_1111</t>
  </si>
  <si>
    <t>CUST_1090</t>
  </si>
  <si>
    <t>CUST_0772</t>
  </si>
  <si>
    <t>CUST_0917</t>
  </si>
  <si>
    <t>CUST_1139</t>
  </si>
  <si>
    <t>CUST_0250</t>
  </si>
  <si>
    <t>CUST_0760</t>
  </si>
  <si>
    <t>CUST_0595</t>
  </si>
  <si>
    <t>CUST_0072</t>
  </si>
  <si>
    <t>CUST_0095</t>
  </si>
  <si>
    <t>CUST_0546</t>
  </si>
  <si>
    <t>CUST_0034</t>
  </si>
  <si>
    <t>CUST_0862</t>
  </si>
  <si>
    <t>CUST_0579</t>
  </si>
  <si>
    <t>CUST_0449</t>
  </si>
  <si>
    <t>CUST_0446</t>
  </si>
  <si>
    <t>CUST_0260</t>
  </si>
  <si>
    <t>CUST_0205</t>
  </si>
  <si>
    <t>CUST_0573</t>
  </si>
  <si>
    <t>CUST_0824</t>
  </si>
  <si>
    <t>CUST_0586</t>
  </si>
  <si>
    <t>CUST_0366</t>
  </si>
  <si>
    <t>CUST_0812</t>
  </si>
  <si>
    <t>CUST_0078</t>
  </si>
  <si>
    <t>CUST_0085</t>
  </si>
  <si>
    <t>CUST_0539</t>
  </si>
  <si>
    <t>CUST_0083</t>
  </si>
  <si>
    <t>CUST_0458</t>
  </si>
  <si>
    <t>CUST_1138</t>
  </si>
  <si>
    <t>CUST_0615</t>
  </si>
  <si>
    <t>CUST_1186</t>
  </si>
  <si>
    <t>CUST_1076</t>
  </si>
  <si>
    <t>CUST_0737</t>
  </si>
  <si>
    <t>CUST_0437</t>
  </si>
  <si>
    <t>CUST_0555</t>
  </si>
  <si>
    <t>CUST_1080</t>
  </si>
  <si>
    <t>CUST_1062</t>
  </si>
  <si>
    <t>CUST_0351</t>
  </si>
  <si>
    <t>CUST_0197</t>
  </si>
  <si>
    <t>CUST_0465</t>
  </si>
  <si>
    <t>CUST_0589</t>
  </si>
  <si>
    <t>CUST_0006</t>
  </si>
  <si>
    <t>CUST_0311</t>
  </si>
  <si>
    <t>CUST_0662</t>
  </si>
  <si>
    <t>CUST_0405</t>
  </si>
  <si>
    <t>CUST_1196</t>
  </si>
  <si>
    <t>CUST_1044</t>
  </si>
  <si>
    <t>CUST_1058</t>
  </si>
  <si>
    <t>CUST_0105</t>
  </si>
  <si>
    <t>CUST_0537</t>
  </si>
  <si>
    <t>CUST_0606</t>
  </si>
  <si>
    <t>CUST_0063</t>
  </si>
  <si>
    <t>CUST_0282</t>
  </si>
  <si>
    <t>CUST_1056</t>
  </si>
  <si>
    <t>CUST_0239</t>
  </si>
  <si>
    <t>CUST_0224</t>
  </si>
  <si>
    <t>CUST_0146</t>
  </si>
  <si>
    <t>CUST_1119</t>
  </si>
  <si>
    <t>CUST_0374</t>
  </si>
  <si>
    <t>CUST_0119</t>
  </si>
  <si>
    <t>CUST_0803</t>
  </si>
  <si>
    <t>CUST_0251</t>
  </si>
  <si>
    <t>CUST_1157</t>
  </si>
  <si>
    <t>CUST_0010</t>
  </si>
  <si>
    <t>CUST_0450</t>
  </si>
  <si>
    <t>CUST_0874</t>
  </si>
  <si>
    <t>CUST_0390</t>
  </si>
  <si>
    <t>CUST_0966</t>
  </si>
  <si>
    <t>CUST_0461</t>
  </si>
  <si>
    <t>CUST_1147</t>
  </si>
  <si>
    <t>CUST_0145</t>
  </si>
  <si>
    <t>CUST_0502</t>
  </si>
  <si>
    <t>CUST_1108</t>
  </si>
  <si>
    <t>CUST_0540</t>
  </si>
  <si>
    <t>CUST_0178</t>
  </si>
  <si>
    <t>CUST_1159</t>
  </si>
  <si>
    <t>CUST_1051</t>
  </si>
  <si>
    <t>CUST_0584</t>
  </si>
  <si>
    <t>CUST_1195</t>
  </si>
  <si>
    <t>CUST_0008</t>
  </si>
  <si>
    <t>CUST_0574</t>
  </si>
  <si>
    <t>CUST_0843</t>
  </si>
  <si>
    <t>CUST_0358</t>
  </si>
  <si>
    <t>CUST_0330</t>
  </si>
  <si>
    <t>CUST_0705</t>
  </si>
  <si>
    <t>CUST_0830</t>
  </si>
  <si>
    <t>CUST_0259</t>
  </si>
  <si>
    <t>CUST_0891</t>
  </si>
  <si>
    <t>CUST_0834</t>
  </si>
  <si>
    <t>CUST_1188</t>
  </si>
  <si>
    <t>CUST_0905</t>
  </si>
  <si>
    <t>CUST_0526</t>
  </si>
  <si>
    <t>CUST_0814</t>
  </si>
  <si>
    <t>CUST_0732</t>
  </si>
  <si>
    <t>CUST_1032</t>
  </si>
  <si>
    <t>CUST_1141</t>
  </si>
  <si>
    <t>CUST_0441</t>
  </si>
  <si>
    <t>CUST_0532</t>
  </si>
  <si>
    <t>CUST_0960</t>
  </si>
  <si>
    <t>CUST_0229</t>
  </si>
  <si>
    <t>CUST_1041</t>
  </si>
  <si>
    <t>CUST_0213</t>
  </si>
  <si>
    <t>CUST_0080</t>
  </si>
  <si>
    <t>CUST_0149</t>
  </si>
  <si>
    <t>CUST_0592</t>
  </si>
  <si>
    <t>CUST_0708</t>
  </si>
  <si>
    <t>CUST_0590</t>
  </si>
  <si>
    <t>CUST_0134</t>
  </si>
  <si>
    <t>CUST_0782</t>
  </si>
  <si>
    <t>CUST_0409</t>
  </si>
  <si>
    <t>CUST_0970</t>
  </si>
  <si>
    <t>CUST_0508</t>
  </si>
  <si>
    <t>CUST_0877</t>
  </si>
  <si>
    <t>CUST_0505</t>
  </si>
  <si>
    <t>CUST_0719</t>
  </si>
  <si>
    <t>CUST_0348</t>
  </si>
  <si>
    <t>CUST_0387</t>
  </si>
  <si>
    <t>CUST_0001</t>
  </si>
  <si>
    <t>CUST_0361</t>
  </si>
  <si>
    <t>CUST_1134</t>
  </si>
  <si>
    <t>CUST_0476</t>
  </si>
  <si>
    <t>CUST_0778</t>
  </si>
  <si>
    <t>CUST_0754</t>
  </si>
  <si>
    <t>CUST_0173</t>
  </si>
  <si>
    <t>CUST_0451</t>
  </si>
  <si>
    <t>CUST_0126</t>
  </si>
  <si>
    <t>CUST_0931</t>
  </si>
  <si>
    <t>CUST_0531</t>
  </si>
  <si>
    <t>CUST_0091</t>
  </si>
  <si>
    <t>CUST_1162</t>
  </si>
  <si>
    <t>CUST_0182</t>
  </si>
  <si>
    <t>CUST_1027</t>
  </si>
  <si>
    <t>CUST_1000</t>
  </si>
  <si>
    <t>CUST_0252</t>
  </si>
  <si>
    <t>CUST_0070</t>
  </si>
  <si>
    <t>CUST_0132</t>
  </si>
  <si>
    <t>CUST_0301</t>
  </si>
  <si>
    <t>CUST_1133</t>
  </si>
  <si>
    <t>CUST_0327</t>
  </si>
  <si>
    <t>CUST_1020</t>
  </si>
  <si>
    <t>CUST_0500</t>
  </si>
  <si>
    <t>CUST_0666</t>
  </si>
  <si>
    <t>CUST_0919</t>
  </si>
  <si>
    <t>CUST_0496</t>
  </si>
  <si>
    <t>CUST_0339</t>
  </si>
  <si>
    <t>CUST_0964</t>
  </si>
  <si>
    <t>CUST_0165</t>
  </si>
  <si>
    <t>CUST_0029</t>
  </si>
  <si>
    <t>CUST_0517</t>
  </si>
  <si>
    <t>CUST_0194</t>
  </si>
  <si>
    <t>CUST_1104</t>
  </si>
  <si>
    <t>CUST_0170</t>
  </si>
  <si>
    <t>CUST_1059</t>
  </si>
  <si>
    <t>CUST_0174</t>
  </si>
  <si>
    <t>CUST_0519</t>
  </si>
  <si>
    <t>CUST_0969</t>
  </si>
  <si>
    <t>CUST_0702</t>
  </si>
  <si>
    <t>CUST_0492</t>
  </si>
  <si>
    <t>CUST_0074</t>
  </si>
  <si>
    <t>CUST_0981</t>
  </si>
  <si>
    <t>CUST_0588</t>
  </si>
  <si>
    <t>CUST_0235</t>
  </si>
  <si>
    <t>CUST_0215</t>
  </si>
  <si>
    <t>CUST_0947</t>
  </si>
  <si>
    <t>CUST_0133</t>
  </si>
  <si>
    <t>CUST_1156</t>
  </si>
  <si>
    <t>CUST_0733</t>
  </si>
  <si>
    <t>CUST_0941</t>
  </si>
  <si>
    <t>CUST_0186</t>
  </si>
  <si>
    <t>CUST_0042</t>
  </si>
  <si>
    <t>CUST_0109</t>
  </si>
  <si>
    <t>CUST_0849</t>
  </si>
  <si>
    <t>CUST_0569</t>
  </si>
  <si>
    <t>CUST_0651</t>
  </si>
  <si>
    <t>CUST_1001</t>
  </si>
  <si>
    <t>CUST_1166</t>
  </si>
  <si>
    <t>CUST_0484</t>
  </si>
  <si>
    <t>CUST_0469</t>
  </si>
  <si>
    <t>CUST_0025</t>
  </si>
  <si>
    <t>CUST_0661</t>
  </si>
  <si>
    <t>CUST_0680</t>
  </si>
  <si>
    <t>CUST_0753</t>
  </si>
  <si>
    <t>CUST_0994</t>
  </si>
  <si>
    <t>CUST_0367</t>
  </si>
  <si>
    <t>CUST_0840</t>
  </si>
  <si>
    <t>CUST_1053</t>
  </si>
  <si>
    <t>CUST_0384</t>
  </si>
  <si>
    <t>CUST_0455</t>
  </si>
  <si>
    <t>CUST_0265</t>
  </si>
  <si>
    <t>CUST_0761</t>
  </si>
  <si>
    <t>CUST_0980</t>
  </si>
  <si>
    <t>CUST_0445</t>
  </si>
  <si>
    <t>CUST_0396</t>
  </si>
  <si>
    <t>CUST_0742</t>
  </si>
  <si>
    <t>CUST_0177</t>
  </si>
  <si>
    <t>CUST_0019</t>
  </si>
  <si>
    <t>CUST_0949</t>
  </si>
  <si>
    <t>CUST_0815</t>
  </si>
  <si>
    <t>CUST_0596</t>
  </si>
  <si>
    <t>CUST_0062</t>
  </si>
  <si>
    <t>CUST_0273</t>
  </si>
  <si>
    <t>CUST_1126</t>
  </si>
  <si>
    <t>CUST_0279</t>
  </si>
  <si>
    <t>CUST_0842</t>
  </si>
  <si>
    <t>CUST_0369</t>
  </si>
  <si>
    <t>CUST_0887</t>
  </si>
  <si>
    <t>CUST_1015</t>
  </si>
  <si>
    <t>CUST_0860</t>
  </si>
  <si>
    <t>CUST_0721</t>
  </si>
  <si>
    <t>CUST_0826</t>
  </si>
  <si>
    <t>CUST_0548</t>
  </si>
  <si>
    <t>CUST_0880</t>
  </si>
  <si>
    <t>CUST_0900</t>
  </si>
  <si>
    <t>CUST_0457</t>
  </si>
  <si>
    <t>CUST_0394</t>
  </si>
  <si>
    <t>CUST_0676</t>
  </si>
  <si>
    <t>CUST_0912</t>
  </si>
  <si>
    <t>CUST_0965</t>
  </si>
  <si>
    <t>CUST_0376</t>
  </si>
  <si>
    <t>CUST_0413</t>
  </si>
  <si>
    <t>CUST_0075</t>
  </si>
  <si>
    <t>CUST_1122</t>
  </si>
  <si>
    <t>CUST_0863</t>
  </si>
  <si>
    <t>CUST_0501</t>
  </si>
  <si>
    <t>CUST_0942</t>
  </si>
  <si>
    <t>CUST_0617</t>
  </si>
  <si>
    <t>CUST_0115</t>
  </si>
  <si>
    <t>CUST_0418</t>
  </si>
  <si>
    <t>CUST_0602</t>
  </si>
  <si>
    <t>CUST_0605</t>
  </si>
  <si>
    <t>CUST_0090</t>
  </si>
  <si>
    <t>CUST_1149</t>
  </si>
  <si>
    <t>CUST_0499</t>
  </si>
  <si>
    <t>CUST_0876</t>
  </si>
  <si>
    <t>CUST_0927</t>
  </si>
  <si>
    <t>CUST_0999</t>
  </si>
  <si>
    <t>CUST_0012</t>
  </si>
  <si>
    <t>CUST_0397</t>
  </si>
  <si>
    <t>CUST_0755</t>
  </si>
  <si>
    <t>CUST_0556</t>
  </si>
  <si>
    <t>CUST_0043</t>
  </si>
  <si>
    <t>CUST_0168</t>
  </si>
  <si>
    <t>CUST_0417</t>
  </si>
  <si>
    <t>CUST_0577</t>
  </si>
  <si>
    <t>CUST_0268</t>
  </si>
  <si>
    <t>CUST_0808</t>
  </si>
  <si>
    <t>CUST_0427</t>
  </si>
  <si>
    <t>CUST_0691</t>
  </si>
  <si>
    <t>CUST_0545</t>
  </si>
  <si>
    <t>CUST_1123</t>
  </si>
  <si>
    <t>CUST_0675</t>
  </si>
  <si>
    <t>CUST_0690</t>
  </si>
  <si>
    <t>CUST_1055</t>
  </si>
  <si>
    <t>CUST_1177</t>
  </si>
  <si>
    <t>CUST_1033</t>
  </si>
  <si>
    <t>CUST_1035</t>
  </si>
  <si>
    <t>CUST_0258</t>
  </si>
  <si>
    <t>CUST_0336</t>
  </si>
  <si>
    <t>CUST_0016</t>
  </si>
  <si>
    <t>CUST_0902</t>
  </si>
  <si>
    <t>CUST_0325</t>
  </si>
  <si>
    <t>CUST_0608</t>
  </si>
  <si>
    <t>CUST_1054</t>
  </si>
  <si>
    <t>CUST_0791</t>
  </si>
  <si>
    <t>CUST_0223</t>
  </si>
  <si>
    <t>CUST_0180</t>
  </si>
  <si>
    <t>CUST_0100</t>
  </si>
  <si>
    <t>CUST_0522</t>
  </si>
  <si>
    <t>CUST_0023</t>
  </si>
  <si>
    <t>CUST_0357</t>
  </si>
  <si>
    <t>CUST_0734</t>
  </si>
  <si>
    <t>CUST_1094</t>
  </si>
  <si>
    <t>CUST_1112</t>
  </si>
  <si>
    <t>CUST_0612</t>
  </si>
  <si>
    <t>CUST_1010</t>
  </si>
  <si>
    <t>CUST_0341</t>
  </si>
  <si>
    <t>CUST_0432</t>
  </si>
  <si>
    <t>CUST_0962</t>
  </si>
  <si>
    <t>CUST_0218</t>
  </si>
  <si>
    <t>CUST_0204</t>
  </si>
  <si>
    <t>CUST_0906</t>
  </si>
  <si>
    <t>CUST_0923</t>
  </si>
  <si>
    <t>CUST_0094</t>
  </si>
  <si>
    <t>CUST_0911</t>
  </si>
  <si>
    <t>CUST_0069</t>
  </si>
  <si>
    <t>CUST_0895</t>
  </si>
  <si>
    <t>CUST_0285</t>
  </si>
  <si>
    <t>CUST_0697</t>
  </si>
  <si>
    <t>CUST_0086</t>
  </si>
  <si>
    <t>CUST_0435</t>
  </si>
  <si>
    <t>CUST_0797</t>
  </si>
  <si>
    <t>CUST_0154</t>
  </si>
  <si>
    <t>CUST_0076</t>
  </si>
  <si>
    <t>CUST_1043</t>
  </si>
  <si>
    <t>CUST_0581</t>
  </si>
  <si>
    <t>CUST_0447</t>
  </si>
  <si>
    <t>CUST_0704</t>
  </si>
  <si>
    <t>CUST_0189</t>
  </si>
  <si>
    <t>CUST_0272</t>
  </si>
  <si>
    <t>CUST_0237</t>
  </si>
  <si>
    <t>CUST_0488</t>
  </si>
  <si>
    <t>CUST_1160</t>
  </si>
  <si>
    <t>CUST_0560</t>
  </si>
  <si>
    <t>CUST_0118</t>
  </si>
  <si>
    <t>CUST_0638</t>
  </si>
  <si>
    <t>CUST_1128</t>
  </si>
  <si>
    <t>CUST_0751</t>
  </si>
  <si>
    <t>CUST_0513</t>
  </si>
  <si>
    <t>CUST_0634</t>
  </si>
  <si>
    <t>CUST_0786</t>
  </si>
  <si>
    <t>CUST_1007</t>
  </si>
  <si>
    <t>CUST_0853</t>
  </si>
  <si>
    <t>CUST_0127</t>
  </si>
  <si>
    <t>CUST_0117</t>
  </si>
  <si>
    <t>CUST_0474</t>
  </si>
  <si>
    <t>CUST_0741</t>
  </si>
  <si>
    <t>CUST_0993</t>
  </si>
  <si>
    <t>CUST_0058</t>
  </si>
  <si>
    <t>CUST_0604</t>
  </si>
  <si>
    <t>CUST_0787</t>
  </si>
  <si>
    <t>CUST_0971</t>
  </si>
  <si>
    <t>CUST_0657</t>
  </si>
  <si>
    <t>CUST_0903</t>
  </si>
  <si>
    <t>CUST_0922</t>
  </si>
  <si>
    <t>CUST_0106</t>
  </si>
  <si>
    <t>CUST_0636</t>
  </si>
  <si>
    <t>CUST_0370</t>
  </si>
  <si>
    <t>CUST_0269</t>
  </si>
  <si>
    <t>CUST_0656</t>
  </si>
  <si>
    <t>CUST_0047</t>
  </si>
  <si>
    <t>CUST_0350</t>
  </si>
  <si>
    <t>CUST_0774</t>
  </si>
  <si>
    <t>CUST_0196</t>
  </si>
  <si>
    <t>CUST_0103</t>
  </si>
  <si>
    <t>CUST_0005</t>
  </si>
  <si>
    <t>CUST_0620</t>
  </si>
  <si>
    <t>CUST_0991</t>
  </si>
  <si>
    <t>CUST_0053</t>
  </si>
  <si>
    <t>CUST_0264</t>
  </si>
  <si>
    <t>CUST_1093</t>
  </si>
  <si>
    <t>CUST_0444</t>
  </si>
  <si>
    <t>CUST_0972</t>
  </si>
  <si>
    <t>CUST_0783</t>
  </si>
  <si>
    <t>CUST_0847</t>
  </si>
  <si>
    <t>CUST_0692</t>
  </si>
  <si>
    <t>CUST_0305</t>
  </si>
  <si>
    <t>CUST_0342</t>
  </si>
  <si>
    <t>CUST_0867</t>
  </si>
  <si>
    <t>CUST_0314</t>
  </si>
  <si>
    <t>CUST_0150</t>
  </si>
  <si>
    <t>CUST_0125</t>
  </si>
  <si>
    <t>CUST_1063</t>
  </si>
  <si>
    <t>CUST_0575</t>
  </si>
  <si>
    <t>CUST_0698</t>
  </si>
  <si>
    <t>CUST_0665</t>
  </si>
  <si>
    <t>CUST_0051</t>
  </si>
  <si>
    <t>CUST_0727</t>
  </si>
  <si>
    <t>CUST_0800</t>
  </si>
  <si>
    <t>CUST_0354</t>
  </si>
  <si>
    <t>CUST_1153</t>
  </si>
  <si>
    <t>CUST_0143</t>
  </si>
  <si>
    <t>CUST_0471</t>
  </si>
  <si>
    <t>CUST_0654</t>
  </si>
  <si>
    <t>CUST_0400</t>
  </si>
  <si>
    <t>CUST_1154</t>
  </si>
  <si>
    <t>CUST_0938</t>
  </si>
  <si>
    <t>CUST_0321</t>
  </si>
  <si>
    <t>CUST_0020</t>
  </si>
  <si>
    <t>CUST_0685</t>
  </si>
  <si>
    <t>CUST_0036</t>
  </si>
  <si>
    <t>CUST_0825</t>
  </si>
  <si>
    <t>CUST_0506</t>
  </si>
  <si>
    <t>CUST_0828</t>
  </si>
  <si>
    <t>CUST_1071</t>
  </si>
  <si>
    <t>CUST_0408</t>
  </si>
  <si>
    <t>CUST_0818</t>
  </si>
  <si>
    <t>CUST_0538</t>
  </si>
  <si>
    <t>CUST_0759</t>
  </si>
  <si>
    <t>CUST_1069</t>
  </si>
  <si>
    <t>CUST_0893</t>
  </si>
  <si>
    <t>CUST_0039</t>
  </si>
  <si>
    <t>CUST_0176</t>
  </si>
  <si>
    <t>CUST_0246</t>
  </si>
  <si>
    <t>CUST_0811</t>
  </si>
  <si>
    <t>CUST_1085</t>
  </si>
  <si>
    <t>CUST_1078</t>
  </si>
  <si>
    <t>CUST_0785</t>
  </si>
  <si>
    <t>CUST_1185</t>
  </si>
  <si>
    <t>CUST_0490</t>
  </si>
  <si>
    <t>CUST_0155</t>
  </si>
  <si>
    <t>CUST_0639</t>
  </si>
  <si>
    <t>CUST_0663</t>
  </si>
  <si>
    <t>CUST_0854</t>
  </si>
  <si>
    <t>CUST_0288</t>
  </si>
  <si>
    <t>CUST_0626</t>
  </si>
  <si>
    <t>CUST_1200</t>
  </si>
  <si>
    <t>CUST_0686</t>
  </si>
  <si>
    <t>CUST_0873</t>
  </si>
  <si>
    <t>CUST_0570</t>
  </si>
  <si>
    <t>CUST_1144</t>
  </si>
  <si>
    <t>CUST_0735</t>
  </si>
  <si>
    <t>CUST_0793</t>
  </si>
  <si>
    <t>CUST_0018</t>
  </si>
  <si>
    <t>CUST_0128</t>
  </si>
  <si>
    <t>CUST_0323</t>
  </si>
  <si>
    <t>CUST_0256</t>
  </si>
  <si>
    <t>CUST_0944</t>
  </si>
  <si>
    <t>CUST_1180</t>
  </si>
  <si>
    <t>CUST_0191</t>
  </si>
  <si>
    <t>CUST_0116</t>
  </si>
  <si>
    <t>CUST_1174</t>
  </si>
  <si>
    <t>CUST_0889</t>
  </si>
  <si>
    <t>CUST_0607</t>
  </si>
  <si>
    <t>CUST_0181</t>
  </si>
  <si>
    <t>CUST_0302</t>
  </si>
  <si>
    <t>CUST_0497</t>
  </si>
  <si>
    <t>CUST_0349</t>
  </si>
  <si>
    <t>CUST_1036</t>
  </si>
  <si>
    <t>CUST_0983</t>
  </si>
  <si>
    <t>CUST_0745</t>
  </si>
  <si>
    <t>CUST_1152</t>
  </si>
  <si>
    <t>CUST_0518</t>
  </si>
  <si>
    <t>CUST_0373</t>
  </si>
  <si>
    <t>CUST_0046</t>
  </si>
  <si>
    <t>CUST_0477</t>
  </si>
  <si>
    <t>CUST_0158</t>
  </si>
  <si>
    <t>CUST_1047</t>
  </si>
  <si>
    <t>CUST_0172</t>
  </si>
  <si>
    <t>CUST_0017</t>
  </si>
  <si>
    <t>CUST_0512</t>
  </si>
  <si>
    <t>CUST_0049</t>
  </si>
  <si>
    <t>CUST_0192</t>
  </si>
  <si>
    <t>CUST_0547</t>
  </si>
  <si>
    <t>CUST_0516</t>
  </si>
  <si>
    <t>CUST_0978</t>
  </si>
  <si>
    <t>CUST_0939</t>
  </si>
  <si>
    <t>CUST_0829</t>
  </si>
  <si>
    <t>CUST_0984</t>
  </si>
  <si>
    <t>CUST_0481</t>
  </si>
  <si>
    <t>CUST_1129</t>
  </si>
  <si>
    <t>CUST_0284</t>
  </si>
  <si>
    <t>CUST_1030</t>
  </si>
  <si>
    <t>CUST_0798</t>
  </si>
  <si>
    <t>CUST_0940</t>
  </si>
  <si>
    <t>CUST_0226</t>
  </si>
  <si>
    <t>CUST_0027</t>
  </si>
  <si>
    <t>CUST_0283</t>
  </si>
  <si>
    <t>CUST_1150</t>
  </si>
  <si>
    <t>CUST_0438</t>
  </si>
  <si>
    <t>CUST_1168</t>
  </si>
  <si>
    <t>CUST_0365</t>
  </si>
  <si>
    <t>CUST_0230</t>
  </si>
  <si>
    <t>CUST_0038</t>
  </si>
  <si>
    <t>CUST_0670</t>
  </si>
  <si>
    <t>CUST_0750</t>
  </si>
  <si>
    <t>CUST_1181</t>
  </si>
  <si>
    <t>CUST_0375</t>
  </si>
  <si>
    <t>CUST_0470</t>
  </si>
  <si>
    <t>CUST_0883</t>
  </si>
  <si>
    <t>CUST_1182</t>
  </si>
  <si>
    <t>CUST_0688</t>
  </si>
  <si>
    <t>CUST_0033</t>
  </si>
  <si>
    <t>CUST_1011</t>
  </si>
  <si>
    <t>CUST_1176</t>
  </si>
  <si>
    <t>CUST_0195</t>
  </si>
  <si>
    <t>CUST_1106</t>
  </si>
  <si>
    <t>CUST_1114</t>
  </si>
  <si>
    <t>CUST_1064</t>
  </si>
  <si>
    <t>CUST_0504</t>
  </si>
  <si>
    <t>CUST_0916</t>
  </si>
  <si>
    <t>CUST_0977</t>
  </si>
  <si>
    <t>CUST_1183</t>
  </si>
  <si>
    <t>CUST_1088</t>
  </si>
  <si>
    <t>CUST_0801</t>
  </si>
  <si>
    <t>CUST_0580</t>
  </si>
  <si>
    <t>CUST_0161</t>
  </si>
  <si>
    <t>CUST_0681</t>
  </si>
  <si>
    <t>CUST_1198</t>
  </si>
  <si>
    <t>CUST_0163</t>
  </si>
  <si>
    <t>CUST_0822</t>
  </si>
  <si>
    <t>CUST_0706</t>
  </si>
  <si>
    <t>CUST_1009</t>
  </si>
  <si>
    <t>CUST_0878</t>
  </si>
  <si>
    <t>CUST_0896</t>
  </si>
  <si>
    <t>CUST_0914</t>
  </si>
  <si>
    <t>CUST_1199</t>
  </si>
  <si>
    <t>CUST_0153</t>
  </si>
  <si>
    <t>CUST_0979</t>
  </si>
  <si>
    <t>CUST_1003</t>
  </si>
  <si>
    <t>CUST_0510</t>
  </si>
  <si>
    <t>CUST_0112</t>
  </si>
  <si>
    <t>CUST_0227</t>
  </si>
  <si>
    <t>CUST_0986</t>
  </si>
  <si>
    <t>CUST_0852</t>
  </si>
  <si>
    <t>CUST_0104</t>
  </si>
  <si>
    <t>CUST_0422</t>
  </si>
  <si>
    <t>CUST_0420</t>
  </si>
  <si>
    <t>CUST_0625</t>
  </si>
  <si>
    <t>CUST_0587</t>
  </si>
  <si>
    <t>CUST_1061</t>
  </si>
  <si>
    <t>CUST_0920</t>
  </si>
  <si>
    <t>CUST_0673</t>
  </si>
  <si>
    <t>CUST_0120</t>
  </si>
  <si>
    <t>CUST_0054</t>
  </si>
  <si>
    <t>CUST_0152</t>
  </si>
  <si>
    <t>CUST_0404</t>
  </si>
  <si>
    <t>CUST_1189</t>
  </si>
  <si>
    <t>CUST_0208</t>
  </si>
  <si>
    <t>CUST_1135</t>
  </si>
  <si>
    <t>CUST_0659</t>
  </si>
  <si>
    <t>CUST_1097</t>
  </si>
  <si>
    <t>CUST_0233</t>
  </si>
  <si>
    <t>CUST_0009</t>
  </si>
  <si>
    <t>CUST_0160</t>
  </si>
  <si>
    <t>CUST_0037</t>
  </si>
  <si>
    <t>CUST_0453</t>
  </si>
  <si>
    <t>CUST_0652</t>
  </si>
  <si>
    <t>CUST_0254</t>
  </si>
  <si>
    <t>CUST_0304</t>
  </si>
  <si>
    <t>CUST_0897</t>
  </si>
  <si>
    <t>CUST_1049</t>
  </si>
  <si>
    <t>CUST_0881</t>
  </si>
  <si>
    <t>CUST_0572</t>
  </si>
  <si>
    <t>CUST_0624</t>
  </si>
  <si>
    <t>CUST_1145</t>
  </si>
  <si>
    <t>CUST_1031</t>
  </si>
  <si>
    <t>CUST_1146</t>
  </si>
  <si>
    <t>CUST_0263</t>
  </si>
  <si>
    <t>CUST_0611</t>
  </si>
  <si>
    <t>CUST_0298</t>
  </si>
  <si>
    <t>CUST_0990</t>
  </si>
  <si>
    <t>CUST_0415</t>
  </si>
  <si>
    <t>CUST_0151</t>
  </si>
  <si>
    <t>CUST_0946</t>
  </si>
  <si>
    <t>CUST_0473</t>
  </si>
  <si>
    <t>CUST_0953</t>
  </si>
  <si>
    <t>CUST_0988</t>
  </si>
  <si>
    <t>CUST_0779</t>
  </si>
  <si>
    <t>CUST_0641</t>
  </si>
  <si>
    <t>CUST_1190</t>
  </si>
  <si>
    <t>CUST_1143</t>
  </si>
  <si>
    <t>CUST_0551</t>
  </si>
  <si>
    <t>CUST_0640</t>
  </si>
  <si>
    <t>CUST_0936</t>
  </si>
  <si>
    <t>CUST_0929</t>
  </si>
  <si>
    <t>CUST_0489</t>
  </si>
  <si>
    <t>CUST_0820</t>
  </si>
  <si>
    <t>CUST_0711</t>
  </si>
  <si>
    <t>CUST_1081</t>
  </si>
  <si>
    <t>CUST_0148</t>
  </si>
  <si>
    <t>CUST_0147</t>
  </si>
  <si>
    <t>CUST_1175</t>
  </si>
  <si>
    <t>CUST_0963</t>
  </si>
  <si>
    <t>CUST_0346</t>
  </si>
  <si>
    <t>CUST_0403</t>
  </si>
  <si>
    <t>CUST_0932</t>
  </si>
  <si>
    <t>CUST_0955</t>
  </si>
  <si>
    <t>CUST_1125</t>
  </si>
  <si>
    <t>CUST_0660</t>
  </si>
  <si>
    <t>CUST_0464</t>
  </si>
  <si>
    <t>CUST_0187</t>
  </si>
  <si>
    <t>CUST_0609</t>
  </si>
  <si>
    <t>CUST_0144</t>
  </si>
  <si>
    <t>CUST_0752</t>
  </si>
  <si>
    <t>CUST_0982</t>
  </si>
  <si>
    <t>CUST_0198</t>
  </si>
  <si>
    <t>CUST_0884</t>
  </si>
  <si>
    <t>CUST_0280</t>
  </si>
  <si>
    <t>CUST_0294</t>
  </si>
  <si>
    <t>CUST_1089</t>
  </si>
  <si>
    <t>CUST_0401</t>
  </si>
  <si>
    <t>CUST_0123</t>
  </si>
  <si>
    <t>CUST_0203</t>
  </si>
  <si>
    <t>CUST_0836</t>
  </si>
  <si>
    <t>CUST_0247</t>
  </si>
  <si>
    <t>CUST_1140</t>
  </si>
  <si>
    <t>CUST_0385</t>
  </si>
  <si>
    <t>CUST_0855</t>
  </si>
  <si>
    <t>CUST_0220</t>
  </si>
  <si>
    <t>CUST_0642</t>
  </si>
  <si>
    <t>CUST_0002</t>
  </si>
  <si>
    <t>CUST_0113</t>
  </si>
  <si>
    <t>CUST_0699</t>
  </si>
  <si>
    <t>CUST_0952</t>
  </si>
  <si>
    <t>CUST_1079</t>
  </si>
  <si>
    <t>CUST_0442</t>
  </si>
  <si>
    <t>CUST_0664</t>
  </si>
  <si>
    <t>CUST_1197</t>
  </si>
  <si>
    <t>CUST_0318</t>
  </si>
  <si>
    <t>CUST_0649</t>
  </si>
  <si>
    <t>CUST_0710</t>
  </si>
  <si>
    <t>CUST_0973</t>
  </si>
  <si>
    <t>CUST_0628</t>
  </si>
  <si>
    <t>CUST_0633</t>
  </si>
  <si>
    <t>CUST_1172</t>
  </si>
  <si>
    <t>CUST_1107</t>
  </si>
  <si>
    <t>CUST_0796</t>
  </si>
  <si>
    <t>CUST_0646</t>
  </si>
  <si>
    <t>CUST_1013</t>
  </si>
  <si>
    <t>CUST_0557</t>
  </si>
  <si>
    <t>CUST_0682</t>
  </si>
  <si>
    <t>CUST_0578</t>
  </si>
  <si>
    <t>CUST_0525</t>
  </si>
  <si>
    <t>CUST_1060</t>
  </si>
  <si>
    <t>CUST_0541</t>
  </si>
  <si>
    <t>CUST_0749</t>
  </si>
  <si>
    <t>CUST_1110</t>
  </si>
  <si>
    <t>CUST_0485</t>
  </si>
  <si>
    <t>CUST_0096</t>
  </si>
  <si>
    <t>CUST_1021</t>
  </si>
  <si>
    <t>CUST_0564</t>
  </si>
  <si>
    <t>CUST_0743</t>
  </si>
  <si>
    <t>CUST_0864</t>
  </si>
  <si>
    <t>CUST_0892</t>
  </si>
  <si>
    <t>CUST_1039</t>
  </si>
  <si>
    <t>CUST_0207</t>
  </si>
  <si>
    <t>CUST_0393</t>
  </si>
  <si>
    <t>CUST_0795</t>
  </si>
  <si>
    <t>CUST_0871</t>
  </si>
  <si>
    <t>CUST_0398</t>
  </si>
  <si>
    <t>CUST_0767</t>
  </si>
  <si>
    <t>CUST_1100</t>
  </si>
  <si>
    <t>CUST_1029</t>
  </si>
  <si>
    <t>CUST_0643</t>
  </si>
  <si>
    <t>CUST_0613</t>
  </si>
  <si>
    <t>CUST_0961</t>
  </si>
  <si>
    <t>CUST_0726</t>
  </si>
  <si>
    <t>CUST_0684</t>
  </si>
  <si>
    <t>CUST_0099</t>
  </si>
  <si>
    <t>CUST_0805</t>
  </si>
  <si>
    <t>CUST_0407</t>
  </si>
  <si>
    <t>CUST_0503</t>
  </si>
  <si>
    <t>CUST_1072</t>
  </si>
  <si>
    <t>CUST_1057</t>
  </si>
  <si>
    <t>CUST_0930</t>
  </si>
  <si>
    <t>CUST_0780</t>
  </si>
  <si>
    <t>CUST_0201</t>
  </si>
  <si>
    <t>CUST_0135</t>
  </si>
  <si>
    <t>CUST_1052</t>
  </si>
  <si>
    <t>CUST_0041</t>
  </si>
  <si>
    <t>CUST_1018</t>
  </si>
  <si>
    <t>CUST_0231</t>
  </si>
  <si>
    <t>CUST_0379</t>
  </si>
  <si>
    <t>CUST_0289</t>
  </si>
  <si>
    <t>CUST_0419</t>
  </si>
  <si>
    <t>CUST_0392</t>
  </si>
  <si>
    <t>CUST_0593</t>
  </si>
  <si>
    <t>CUST_1087</t>
  </si>
  <si>
    <t>CUST_0648</t>
  </si>
  <si>
    <t>CUST_0521</t>
  </si>
  <si>
    <t>CUST_0065</t>
  </si>
  <si>
    <t>CUST_0015</t>
  </si>
  <si>
    <t>CUST_1065</t>
  </si>
  <si>
    <t>CUST_0493</t>
  </si>
  <si>
    <t>CUST_0380</t>
  </si>
  <si>
    <t>CUST_0188</t>
  </si>
  <si>
    <t>CUST_0764</t>
  </si>
  <si>
    <t>CUST_0217</t>
  </si>
  <si>
    <t>CUST_0792</t>
  </si>
  <si>
    <t>CUST_1077</t>
  </si>
  <si>
    <t>CUST_0879</t>
  </si>
  <si>
    <t>CUST_0338</t>
  </si>
  <si>
    <t>CUST_0720</t>
  </si>
  <si>
    <t>CUST_0296</t>
  </si>
  <si>
    <t>CUST_1017</t>
  </si>
  <si>
    <t>CUST_0456</t>
  </si>
  <si>
    <t>CUST_0816</t>
  </si>
  <si>
    <t>CUST_0270</t>
  </si>
  <si>
    <t>CUST_0996</t>
  </si>
  <si>
    <t>CUST_0202</t>
  </si>
  <si>
    <t>CUST_0162</t>
  </si>
  <si>
    <t>CUST_0730</t>
  </si>
  <si>
    <t>CUST_0402</t>
  </si>
  <si>
    <t>CUST_0703</t>
  </si>
  <si>
    <t>CUST_1130</t>
  </si>
  <si>
    <t>CUST_0566</t>
  </si>
  <si>
    <t>CUST_1022</t>
  </si>
  <si>
    <t>CUST_1026</t>
  </si>
  <si>
    <t>CUST_1105</t>
  </si>
  <si>
    <t>CUST_0206</t>
  </si>
  <si>
    <t>CUST_0035</t>
  </si>
  <si>
    <t>CUST_0776</t>
  </si>
  <si>
    <t>CUST_0509</t>
  </si>
  <si>
    <t>CUST_1184</t>
  </si>
  <si>
    <t>CUST_0092</t>
  </si>
  <si>
    <t>CUST_0898</t>
  </si>
  <si>
    <t>CUST_0565</t>
  </si>
  <si>
    <t>CUST_0777</t>
  </si>
  <si>
    <t>CUST_0242</t>
  </si>
  <si>
    <t>CUST_0014</t>
  </si>
  <si>
    <t>CUST_0316</t>
  </si>
  <si>
    <t>CUST_0601</t>
  </si>
  <si>
    <t>CUST_0388</t>
  </si>
  <si>
    <t>CUST_0167</t>
  </si>
  <si>
    <t>CUST_0841</t>
  </si>
  <si>
    <t>CUST_0021</t>
  </si>
  <si>
    <t>CUST_0647</t>
  </si>
  <si>
    <t>CUST_1155</t>
  </si>
  <si>
    <t>CUST_0832</t>
  </si>
  <si>
    <t>CUST_0563</t>
  </si>
  <si>
    <t>CUST_1171</t>
  </si>
  <si>
    <t>CUST_0687</t>
  </si>
  <si>
    <t>CUST_0958</t>
  </si>
  <si>
    <t>CUST_0190</t>
  </si>
  <si>
    <t>CUST_0976</t>
  </si>
  <si>
    <t>CUST_0700</t>
  </si>
  <si>
    <t>CUST_0511</t>
  </si>
  <si>
    <t>CUST_1083</t>
  </si>
  <si>
    <t>CUST_0475</t>
  </si>
  <si>
    <t>CUST_0857</t>
  </si>
  <si>
    <t>CUST_0748</t>
  </si>
  <si>
    <t>CUST_0253</t>
  </si>
  <si>
    <t>CUST_0022</t>
  </si>
  <si>
    <t>CUST_0460</t>
  </si>
  <si>
    <t>CUST_0277</t>
  </si>
  <si>
    <t>CUST_0956</t>
  </si>
  <si>
    <t>CUST_0386</t>
  </si>
  <si>
    <t>CUST_0806</t>
  </si>
  <si>
    <t>CUST_0344</t>
  </si>
  <si>
    <t>CUST_0770</t>
  </si>
  <si>
    <t>CUST_0131</t>
  </si>
  <si>
    <t>CUST_0872</t>
  </si>
  <si>
    <t>CUST_1124</t>
  </si>
  <si>
    <t>CUST_0088</t>
  </si>
  <si>
    <t>CUST_0331</t>
  </si>
  <si>
    <t>CUST_0467</t>
  </si>
  <si>
    <t>CUST_0122</t>
  </si>
  <si>
    <t>CUST_1045</t>
  </si>
  <si>
    <t>CUST_1096</t>
  </si>
  <si>
    <t>CUST_1131</t>
  </si>
  <si>
    <t>CUST_0861</t>
  </si>
  <si>
    <t>CUST_1127</t>
  </si>
  <si>
    <t>Churned</t>
  </si>
  <si>
    <t>Tenure (Months)</t>
  </si>
  <si>
    <t>Join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</si>
</sst>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8" fillId="0" borderId="0" xfId="0" applyFont="1" applyAlignment="1">
      <alignment horizontal="righ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1"/>
  <sheetViews>
    <sheetView tabSelected="1" workbookViewId="0">
      <selection activeCell="I13" sqref="I13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1" bestFit="1" customWidth="1"/>
    <col min="4" max="4" width="6.5703125" customWidth="1"/>
    <col min="5" max="5" width="7.5703125" bestFit="1" customWidth="1"/>
    <col min="6" max="6" width="11.7109375" bestFit="1" customWidth="1"/>
    <col min="7" max="7" width="16.42578125" bestFit="1" customWidth="1"/>
    <col min="8" max="8" width="10.5703125" bestFit="1" customWidth="1"/>
    <col min="9" max="9" width="14.5703125" bestFit="1" customWidth="1"/>
    <col min="10" max="10" width="17" bestFit="1" customWidth="1"/>
    <col min="11" max="11" width="10.7109375" bestFit="1" customWidth="1"/>
    <col min="12" max="12" width="9.140625" style="3"/>
    <col min="14" max="14" width="14.140625" bestFit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1230</v>
      </c>
      <c r="L1" s="2" t="s">
        <v>1231</v>
      </c>
      <c r="M1" s="2" t="s">
        <v>1232</v>
      </c>
      <c r="N1" s="2" t="s">
        <v>10</v>
      </c>
    </row>
    <row r="2" spans="1:14" x14ac:dyDescent="0.25">
      <c r="A2" t="s">
        <v>11</v>
      </c>
      <c r="B2" s="1">
        <v>45362</v>
      </c>
      <c r="C2" s="1">
        <v>45392</v>
      </c>
      <c r="D2">
        <v>36</v>
      </c>
      <c r="E2" t="s">
        <v>12</v>
      </c>
      <c r="F2" t="s">
        <v>13</v>
      </c>
      <c r="G2" t="s">
        <v>14</v>
      </c>
      <c r="H2">
        <v>699</v>
      </c>
      <c r="I2">
        <v>1</v>
      </c>
      <c r="J2">
        <v>65</v>
      </c>
      <c r="K2">
        <f>IF(ISBLANK(C2), 0, 1)</f>
        <v>1</v>
      </c>
      <c r="L2" s="4">
        <f ca="1">ROUNDUP(DATEDIF(B2, IF(ISBLANK(C2), TODAY(), C2), "d")/30, 0)</f>
        <v>1</v>
      </c>
      <c r="M2" t="str">
        <f>TEXT(B2, "mmm-yyyy")</f>
        <v>Mar-2024</v>
      </c>
      <c r="N2" t="s">
        <v>15</v>
      </c>
    </row>
    <row r="3" spans="1:14" x14ac:dyDescent="0.25">
      <c r="A3" t="s">
        <v>16</v>
      </c>
      <c r="B3" s="1">
        <v>45738</v>
      </c>
      <c r="C3" s="1">
        <v>45798</v>
      </c>
      <c r="D3">
        <v>48</v>
      </c>
      <c r="E3" t="s">
        <v>12</v>
      </c>
      <c r="F3" t="s">
        <v>17</v>
      </c>
      <c r="G3" t="s">
        <v>18</v>
      </c>
      <c r="H3">
        <v>1598</v>
      </c>
      <c r="I3">
        <v>2</v>
      </c>
      <c r="J3">
        <v>38</v>
      </c>
      <c r="K3">
        <f t="shared" ref="K3:K66" si="0">IF(ISBLANK(C3), 0, 1)</f>
        <v>1</v>
      </c>
      <c r="L3" s="4">
        <f t="shared" ref="L3:L66" ca="1" si="1">ROUNDUP(DATEDIF(B3, IF(ISBLANK(C3), TODAY(), C3), "d")/30, 0)</f>
        <v>2</v>
      </c>
      <c r="M3" t="str">
        <f t="shared" ref="M3:M66" si="2">TEXT(B3, "mmm-yyyy")</f>
        <v>Mar-2025</v>
      </c>
      <c r="N3" t="s">
        <v>19</v>
      </c>
    </row>
    <row r="4" spans="1:14" x14ac:dyDescent="0.25">
      <c r="A4" t="s">
        <v>20</v>
      </c>
      <c r="B4" s="1">
        <v>44900</v>
      </c>
      <c r="C4" s="1">
        <v>45410</v>
      </c>
      <c r="D4">
        <v>26</v>
      </c>
      <c r="E4" t="s">
        <v>21</v>
      </c>
      <c r="F4" t="s">
        <v>22</v>
      </c>
      <c r="G4" t="s">
        <v>18</v>
      </c>
      <c r="H4">
        <v>13583</v>
      </c>
      <c r="I4">
        <v>17</v>
      </c>
      <c r="J4">
        <v>69</v>
      </c>
      <c r="K4">
        <f t="shared" si="0"/>
        <v>1</v>
      </c>
      <c r="L4" s="4">
        <f t="shared" ca="1" si="1"/>
        <v>17</v>
      </c>
      <c r="M4" t="str">
        <f t="shared" si="2"/>
        <v>Dec-2022</v>
      </c>
      <c r="N4" t="s">
        <v>23</v>
      </c>
    </row>
    <row r="5" spans="1:14" x14ac:dyDescent="0.25">
      <c r="A5" t="s">
        <v>24</v>
      </c>
      <c r="B5" s="1">
        <v>45172</v>
      </c>
      <c r="D5">
        <v>51</v>
      </c>
      <c r="E5" t="s">
        <v>21</v>
      </c>
      <c r="F5" t="s">
        <v>17</v>
      </c>
      <c r="G5" t="s">
        <v>18</v>
      </c>
      <c r="H5">
        <v>20774</v>
      </c>
      <c r="I5">
        <v>26</v>
      </c>
      <c r="J5">
        <v>74</v>
      </c>
      <c r="K5">
        <f t="shared" si="0"/>
        <v>0</v>
      </c>
      <c r="L5" s="4">
        <f t="shared" ca="1" si="1"/>
        <v>31</v>
      </c>
      <c r="M5" t="str">
        <f t="shared" si="2"/>
        <v>Sep-2023</v>
      </c>
      <c r="N5" t="s">
        <v>25</v>
      </c>
    </row>
    <row r="6" spans="1:14" x14ac:dyDescent="0.25">
      <c r="A6" t="s">
        <v>26</v>
      </c>
      <c r="B6" s="1">
        <v>45749</v>
      </c>
      <c r="D6">
        <v>21</v>
      </c>
      <c r="E6" t="s">
        <v>12</v>
      </c>
      <c r="F6" t="s">
        <v>27</v>
      </c>
      <c r="G6" t="s">
        <v>14</v>
      </c>
      <c r="H6">
        <v>4893</v>
      </c>
      <c r="I6">
        <v>7</v>
      </c>
      <c r="J6">
        <v>73</v>
      </c>
      <c r="K6">
        <f t="shared" si="0"/>
        <v>0</v>
      </c>
      <c r="L6" s="4">
        <f t="shared" ca="1" si="1"/>
        <v>12</v>
      </c>
      <c r="M6" t="str">
        <f t="shared" si="2"/>
        <v>Apr-2025</v>
      </c>
      <c r="N6" t="s">
        <v>19</v>
      </c>
    </row>
    <row r="7" spans="1:14" x14ac:dyDescent="0.25">
      <c r="A7" t="s">
        <v>28</v>
      </c>
      <c r="B7" s="1">
        <v>45516</v>
      </c>
      <c r="D7">
        <v>33</v>
      </c>
      <c r="E7" t="s">
        <v>12</v>
      </c>
      <c r="F7" t="s">
        <v>29</v>
      </c>
      <c r="G7" t="s">
        <v>30</v>
      </c>
      <c r="H7">
        <v>10486</v>
      </c>
      <c r="I7">
        <v>14</v>
      </c>
      <c r="J7">
        <v>78</v>
      </c>
      <c r="K7">
        <f t="shared" si="0"/>
        <v>0</v>
      </c>
      <c r="L7" s="4">
        <f t="shared" ca="1" si="1"/>
        <v>20</v>
      </c>
      <c r="M7" t="str">
        <f t="shared" si="2"/>
        <v>Aug-2024</v>
      </c>
      <c r="N7" t="s">
        <v>19</v>
      </c>
    </row>
    <row r="8" spans="1:14" x14ac:dyDescent="0.25">
      <c r="A8" t="s">
        <v>31</v>
      </c>
      <c r="B8" s="1">
        <v>45501</v>
      </c>
      <c r="D8">
        <v>50</v>
      </c>
      <c r="E8" t="s">
        <v>12</v>
      </c>
      <c r="F8" t="s">
        <v>32</v>
      </c>
      <c r="G8" t="s">
        <v>30</v>
      </c>
      <c r="H8">
        <v>11235</v>
      </c>
      <c r="I8">
        <v>15</v>
      </c>
      <c r="J8">
        <v>70</v>
      </c>
      <c r="K8">
        <f t="shared" si="0"/>
        <v>0</v>
      </c>
      <c r="L8" s="4">
        <f t="shared" ca="1" si="1"/>
        <v>20</v>
      </c>
      <c r="M8" t="str">
        <f t="shared" si="2"/>
        <v>Jul-2024</v>
      </c>
      <c r="N8" t="s">
        <v>19</v>
      </c>
    </row>
    <row r="9" spans="1:14" x14ac:dyDescent="0.25">
      <c r="A9" t="s">
        <v>33</v>
      </c>
      <c r="B9" s="1">
        <v>45219</v>
      </c>
      <c r="D9">
        <v>57</v>
      </c>
      <c r="E9" t="s">
        <v>12</v>
      </c>
      <c r="F9" t="s">
        <v>17</v>
      </c>
      <c r="G9" t="s">
        <v>18</v>
      </c>
      <c r="H9">
        <v>19176</v>
      </c>
      <c r="I9">
        <v>24</v>
      </c>
      <c r="J9">
        <v>61</v>
      </c>
      <c r="K9">
        <f t="shared" si="0"/>
        <v>0</v>
      </c>
      <c r="L9" s="4">
        <f t="shared" ca="1" si="1"/>
        <v>30</v>
      </c>
      <c r="M9" t="str">
        <f t="shared" si="2"/>
        <v>Oct-2023</v>
      </c>
      <c r="N9" t="s">
        <v>23</v>
      </c>
    </row>
    <row r="10" spans="1:14" x14ac:dyDescent="0.25">
      <c r="A10" t="s">
        <v>34</v>
      </c>
      <c r="B10" s="1">
        <v>45407</v>
      </c>
      <c r="D10">
        <v>39</v>
      </c>
      <c r="E10" t="s">
        <v>21</v>
      </c>
      <c r="F10" t="s">
        <v>13</v>
      </c>
      <c r="G10" t="s">
        <v>18</v>
      </c>
      <c r="H10">
        <v>14382</v>
      </c>
      <c r="I10">
        <v>18</v>
      </c>
      <c r="J10">
        <v>67</v>
      </c>
      <c r="K10">
        <f t="shared" si="0"/>
        <v>0</v>
      </c>
      <c r="L10" s="4">
        <f t="shared" ca="1" si="1"/>
        <v>23</v>
      </c>
      <c r="M10" t="str">
        <f t="shared" si="2"/>
        <v>Apr-2024</v>
      </c>
      <c r="N10" t="s">
        <v>19</v>
      </c>
    </row>
    <row r="11" spans="1:14" x14ac:dyDescent="0.25">
      <c r="A11" t="s">
        <v>35</v>
      </c>
      <c r="B11" s="1">
        <v>45034</v>
      </c>
      <c r="D11">
        <v>23</v>
      </c>
      <c r="E11" t="s">
        <v>12</v>
      </c>
      <c r="F11" t="s">
        <v>29</v>
      </c>
      <c r="G11" t="s">
        <v>30</v>
      </c>
      <c r="H11">
        <v>22470</v>
      </c>
      <c r="I11">
        <v>30</v>
      </c>
      <c r="J11">
        <v>64</v>
      </c>
      <c r="K11">
        <f t="shared" si="0"/>
        <v>0</v>
      </c>
      <c r="L11" s="4">
        <f t="shared" ca="1" si="1"/>
        <v>36</v>
      </c>
      <c r="M11" t="str">
        <f t="shared" si="2"/>
        <v>Apr-2023</v>
      </c>
      <c r="N11" t="s">
        <v>19</v>
      </c>
    </row>
    <row r="12" spans="1:14" x14ac:dyDescent="0.25">
      <c r="A12" t="s">
        <v>36</v>
      </c>
      <c r="B12" s="1">
        <v>45910</v>
      </c>
      <c r="C12" s="1">
        <v>45940</v>
      </c>
      <c r="D12">
        <v>54</v>
      </c>
      <c r="E12" t="s">
        <v>12</v>
      </c>
      <c r="F12" t="s">
        <v>27</v>
      </c>
      <c r="G12" t="s">
        <v>30</v>
      </c>
      <c r="H12">
        <v>749</v>
      </c>
      <c r="I12">
        <v>1</v>
      </c>
      <c r="J12">
        <v>61</v>
      </c>
      <c r="K12">
        <f t="shared" si="0"/>
        <v>1</v>
      </c>
      <c r="L12" s="4">
        <f t="shared" ca="1" si="1"/>
        <v>1</v>
      </c>
      <c r="M12" t="str">
        <f t="shared" si="2"/>
        <v>Sep-2025</v>
      </c>
      <c r="N12" t="s">
        <v>19</v>
      </c>
    </row>
    <row r="13" spans="1:14" x14ac:dyDescent="0.25">
      <c r="A13" t="s">
        <v>37</v>
      </c>
      <c r="B13" s="1">
        <v>44869</v>
      </c>
      <c r="D13">
        <v>19</v>
      </c>
      <c r="E13" t="s">
        <v>12</v>
      </c>
      <c r="F13" t="s">
        <v>38</v>
      </c>
      <c r="G13" t="s">
        <v>14</v>
      </c>
      <c r="H13">
        <v>25164</v>
      </c>
      <c r="I13">
        <v>36</v>
      </c>
      <c r="J13">
        <v>70</v>
      </c>
      <c r="K13">
        <f t="shared" si="0"/>
        <v>0</v>
      </c>
      <c r="L13" s="4">
        <f t="shared" ca="1" si="1"/>
        <v>41</v>
      </c>
      <c r="M13" t="str">
        <f t="shared" si="2"/>
        <v>Nov-2022</v>
      </c>
      <c r="N13" t="s">
        <v>15</v>
      </c>
    </row>
    <row r="14" spans="1:14" x14ac:dyDescent="0.25">
      <c r="A14" t="s">
        <v>39</v>
      </c>
      <c r="B14" s="1">
        <v>45225</v>
      </c>
      <c r="D14">
        <v>52</v>
      </c>
      <c r="E14" t="s">
        <v>12</v>
      </c>
      <c r="F14" t="s">
        <v>29</v>
      </c>
      <c r="G14" t="s">
        <v>18</v>
      </c>
      <c r="H14">
        <v>19176</v>
      </c>
      <c r="I14">
        <v>24</v>
      </c>
      <c r="J14">
        <v>60</v>
      </c>
      <c r="K14">
        <f t="shared" si="0"/>
        <v>0</v>
      </c>
      <c r="L14" s="4">
        <f t="shared" ca="1" si="1"/>
        <v>30</v>
      </c>
      <c r="M14" t="str">
        <f t="shared" si="2"/>
        <v>Oct-2023</v>
      </c>
      <c r="N14" t="s">
        <v>19</v>
      </c>
    </row>
    <row r="15" spans="1:14" x14ac:dyDescent="0.25">
      <c r="A15" t="s">
        <v>40</v>
      </c>
      <c r="B15" s="1">
        <v>45844</v>
      </c>
      <c r="D15">
        <v>51</v>
      </c>
      <c r="E15" t="s">
        <v>21</v>
      </c>
      <c r="F15" t="s">
        <v>41</v>
      </c>
      <c r="G15" t="s">
        <v>30</v>
      </c>
      <c r="H15">
        <v>2247</v>
      </c>
      <c r="I15">
        <v>3</v>
      </c>
      <c r="J15">
        <v>51</v>
      </c>
      <c r="K15">
        <f t="shared" si="0"/>
        <v>0</v>
      </c>
      <c r="L15" s="4">
        <f t="shared" ca="1" si="1"/>
        <v>9</v>
      </c>
      <c r="M15" t="str">
        <f t="shared" si="2"/>
        <v>Jul-2025</v>
      </c>
      <c r="N15" t="s">
        <v>19</v>
      </c>
    </row>
    <row r="16" spans="1:14" x14ac:dyDescent="0.25">
      <c r="A16" t="s">
        <v>42</v>
      </c>
      <c r="B16" s="1">
        <v>45118</v>
      </c>
      <c r="D16">
        <v>24</v>
      </c>
      <c r="E16" t="s">
        <v>12</v>
      </c>
      <c r="F16" t="s">
        <v>13</v>
      </c>
      <c r="G16" t="s">
        <v>18</v>
      </c>
      <c r="H16">
        <v>22372</v>
      </c>
      <c r="I16">
        <v>28</v>
      </c>
      <c r="J16">
        <v>0</v>
      </c>
      <c r="K16">
        <f t="shared" si="0"/>
        <v>0</v>
      </c>
      <c r="L16" s="4">
        <f t="shared" ca="1" si="1"/>
        <v>33</v>
      </c>
      <c r="M16" t="str">
        <f t="shared" si="2"/>
        <v>Jul-2023</v>
      </c>
      <c r="N16" t="s">
        <v>19</v>
      </c>
    </row>
    <row r="17" spans="1:14" x14ac:dyDescent="0.25">
      <c r="A17" t="s">
        <v>43</v>
      </c>
      <c r="B17" s="1">
        <v>45187</v>
      </c>
      <c r="D17">
        <v>54</v>
      </c>
      <c r="E17" t="s">
        <v>21</v>
      </c>
      <c r="F17" t="s">
        <v>22</v>
      </c>
      <c r="G17" t="s">
        <v>18</v>
      </c>
      <c r="H17">
        <v>19975</v>
      </c>
      <c r="I17">
        <v>25</v>
      </c>
      <c r="J17">
        <v>97</v>
      </c>
      <c r="K17">
        <f t="shared" si="0"/>
        <v>0</v>
      </c>
      <c r="L17" s="4">
        <f t="shared" ca="1" si="1"/>
        <v>31</v>
      </c>
      <c r="M17" t="str">
        <f t="shared" si="2"/>
        <v>Sep-2023</v>
      </c>
      <c r="N17" t="s">
        <v>23</v>
      </c>
    </row>
    <row r="18" spans="1:14" x14ac:dyDescent="0.25">
      <c r="A18" t="s">
        <v>44</v>
      </c>
      <c r="B18" s="1">
        <v>45129</v>
      </c>
      <c r="D18">
        <v>36</v>
      </c>
      <c r="E18" t="s">
        <v>21</v>
      </c>
      <c r="F18" t="s">
        <v>22</v>
      </c>
      <c r="G18" t="s">
        <v>18</v>
      </c>
      <c r="H18">
        <v>21573</v>
      </c>
      <c r="I18">
        <v>27</v>
      </c>
      <c r="J18">
        <v>49</v>
      </c>
      <c r="K18">
        <f t="shared" si="0"/>
        <v>0</v>
      </c>
      <c r="L18" s="4">
        <f t="shared" ca="1" si="1"/>
        <v>33</v>
      </c>
      <c r="M18" t="str">
        <f t="shared" si="2"/>
        <v>Jul-2023</v>
      </c>
      <c r="N18" t="s">
        <v>15</v>
      </c>
    </row>
    <row r="19" spans="1:14" x14ac:dyDescent="0.25">
      <c r="A19" t="s">
        <v>45</v>
      </c>
      <c r="B19" s="1">
        <v>45749</v>
      </c>
      <c r="D19">
        <v>20</v>
      </c>
      <c r="E19" t="s">
        <v>21</v>
      </c>
      <c r="F19" t="s">
        <v>22</v>
      </c>
      <c r="G19" t="s">
        <v>18</v>
      </c>
      <c r="H19">
        <v>5593</v>
      </c>
      <c r="I19">
        <v>7</v>
      </c>
      <c r="J19">
        <v>76</v>
      </c>
      <c r="K19">
        <f t="shared" si="0"/>
        <v>0</v>
      </c>
      <c r="L19" s="4">
        <f t="shared" ca="1" si="1"/>
        <v>12</v>
      </c>
      <c r="M19" t="str">
        <f t="shared" si="2"/>
        <v>Apr-2025</v>
      </c>
      <c r="N19" t="s">
        <v>19</v>
      </c>
    </row>
    <row r="20" spans="1:14" x14ac:dyDescent="0.25">
      <c r="A20" t="s">
        <v>46</v>
      </c>
      <c r="B20" s="1">
        <v>45560</v>
      </c>
      <c r="D20">
        <v>53</v>
      </c>
      <c r="E20" t="s">
        <v>21</v>
      </c>
      <c r="F20" t="s">
        <v>47</v>
      </c>
      <c r="G20" t="s">
        <v>30</v>
      </c>
      <c r="H20">
        <v>9737</v>
      </c>
      <c r="I20">
        <v>13</v>
      </c>
      <c r="J20">
        <v>64</v>
      </c>
      <c r="K20">
        <f t="shared" si="0"/>
        <v>0</v>
      </c>
      <c r="L20" s="4">
        <f t="shared" ca="1" si="1"/>
        <v>18</v>
      </c>
      <c r="M20" t="str">
        <f t="shared" si="2"/>
        <v>Sep-2024</v>
      </c>
      <c r="N20" t="s">
        <v>19</v>
      </c>
    </row>
    <row r="21" spans="1:14" x14ac:dyDescent="0.25">
      <c r="A21" t="s">
        <v>48</v>
      </c>
      <c r="B21" s="1">
        <v>45244</v>
      </c>
      <c r="D21">
        <v>47</v>
      </c>
      <c r="E21" t="s">
        <v>12</v>
      </c>
      <c r="F21" t="s">
        <v>13</v>
      </c>
      <c r="G21" t="s">
        <v>18</v>
      </c>
      <c r="H21">
        <v>18377</v>
      </c>
      <c r="I21">
        <v>23</v>
      </c>
      <c r="J21">
        <v>77</v>
      </c>
      <c r="K21">
        <f t="shared" si="0"/>
        <v>0</v>
      </c>
      <c r="L21" s="4">
        <f t="shared" ca="1" si="1"/>
        <v>29</v>
      </c>
      <c r="M21" t="str">
        <f t="shared" si="2"/>
        <v>Nov-2023</v>
      </c>
      <c r="N21" t="s">
        <v>15</v>
      </c>
    </row>
    <row r="22" spans="1:14" x14ac:dyDescent="0.25">
      <c r="A22" t="s">
        <v>49</v>
      </c>
      <c r="B22" s="1">
        <v>45387</v>
      </c>
      <c r="D22">
        <v>56</v>
      </c>
      <c r="E22" t="s">
        <v>12</v>
      </c>
      <c r="F22" t="s">
        <v>38</v>
      </c>
      <c r="G22" t="s">
        <v>18</v>
      </c>
      <c r="H22">
        <v>15181</v>
      </c>
      <c r="I22">
        <v>19</v>
      </c>
      <c r="J22">
        <v>61</v>
      </c>
      <c r="K22">
        <f t="shared" si="0"/>
        <v>0</v>
      </c>
      <c r="L22" s="4">
        <f t="shared" ca="1" si="1"/>
        <v>24</v>
      </c>
      <c r="M22" t="str">
        <f t="shared" si="2"/>
        <v>Apr-2024</v>
      </c>
      <c r="N22" t="s">
        <v>15</v>
      </c>
    </row>
    <row r="23" spans="1:14" x14ac:dyDescent="0.25">
      <c r="A23" t="s">
        <v>50</v>
      </c>
      <c r="B23" s="1">
        <v>44971</v>
      </c>
      <c r="D23">
        <v>52</v>
      </c>
      <c r="E23" t="s">
        <v>21</v>
      </c>
      <c r="F23" t="s">
        <v>41</v>
      </c>
      <c r="G23" t="s">
        <v>30</v>
      </c>
      <c r="H23">
        <v>24717</v>
      </c>
      <c r="I23">
        <v>33</v>
      </c>
      <c r="J23">
        <v>45</v>
      </c>
      <c r="K23">
        <f t="shared" si="0"/>
        <v>0</v>
      </c>
      <c r="L23" s="4">
        <f t="shared" ca="1" si="1"/>
        <v>38</v>
      </c>
      <c r="M23" t="str">
        <f t="shared" si="2"/>
        <v>Feb-2023</v>
      </c>
      <c r="N23" t="s">
        <v>15</v>
      </c>
    </row>
    <row r="24" spans="1:14" x14ac:dyDescent="0.25">
      <c r="A24" t="s">
        <v>51</v>
      </c>
      <c r="B24" s="1">
        <v>45029</v>
      </c>
      <c r="D24">
        <v>23</v>
      </c>
      <c r="E24" t="s">
        <v>12</v>
      </c>
      <c r="F24" t="s">
        <v>41</v>
      </c>
      <c r="G24" t="s">
        <v>18</v>
      </c>
      <c r="H24">
        <v>24769</v>
      </c>
      <c r="I24">
        <v>31</v>
      </c>
      <c r="J24">
        <v>67</v>
      </c>
      <c r="K24">
        <f t="shared" si="0"/>
        <v>0</v>
      </c>
      <c r="L24" s="4">
        <f t="shared" ca="1" si="1"/>
        <v>36</v>
      </c>
      <c r="M24" t="str">
        <f t="shared" si="2"/>
        <v>Apr-2023</v>
      </c>
      <c r="N24" t="s">
        <v>19</v>
      </c>
    </row>
    <row r="25" spans="1:14" x14ac:dyDescent="0.25">
      <c r="A25" t="s">
        <v>52</v>
      </c>
      <c r="B25" s="1">
        <v>45851</v>
      </c>
      <c r="D25">
        <v>60</v>
      </c>
      <c r="E25" t="s">
        <v>12</v>
      </c>
      <c r="F25" t="s">
        <v>32</v>
      </c>
      <c r="G25" t="s">
        <v>18</v>
      </c>
      <c r="H25">
        <v>2397</v>
      </c>
      <c r="I25">
        <v>3</v>
      </c>
      <c r="J25">
        <v>69</v>
      </c>
      <c r="K25">
        <f t="shared" si="0"/>
        <v>0</v>
      </c>
      <c r="L25" s="4">
        <f t="shared" ca="1" si="1"/>
        <v>9</v>
      </c>
      <c r="M25" t="str">
        <f t="shared" si="2"/>
        <v>Jul-2025</v>
      </c>
      <c r="N25" t="s">
        <v>23</v>
      </c>
    </row>
    <row r="26" spans="1:14" x14ac:dyDescent="0.25">
      <c r="A26" t="s">
        <v>53</v>
      </c>
      <c r="B26" s="1">
        <v>45866</v>
      </c>
      <c r="C26" s="1">
        <v>45956</v>
      </c>
      <c r="D26">
        <v>52</v>
      </c>
      <c r="E26" t="s">
        <v>21</v>
      </c>
      <c r="F26" t="s">
        <v>38</v>
      </c>
      <c r="G26" t="s">
        <v>18</v>
      </c>
      <c r="H26">
        <v>2397</v>
      </c>
      <c r="I26">
        <v>3</v>
      </c>
      <c r="J26">
        <v>53</v>
      </c>
      <c r="K26">
        <f t="shared" si="0"/>
        <v>1</v>
      </c>
      <c r="L26" s="4">
        <f t="shared" ca="1" si="1"/>
        <v>3</v>
      </c>
      <c r="M26" t="str">
        <f t="shared" si="2"/>
        <v>Jul-2025</v>
      </c>
      <c r="N26" t="s">
        <v>19</v>
      </c>
    </row>
    <row r="27" spans="1:14" x14ac:dyDescent="0.25">
      <c r="A27" t="s">
        <v>54</v>
      </c>
      <c r="B27" s="1">
        <v>45368</v>
      </c>
      <c r="D27">
        <v>50</v>
      </c>
      <c r="E27" t="s">
        <v>12</v>
      </c>
      <c r="F27" t="s">
        <v>13</v>
      </c>
      <c r="G27" t="s">
        <v>14</v>
      </c>
      <c r="H27">
        <v>13281</v>
      </c>
      <c r="I27">
        <v>19</v>
      </c>
      <c r="J27">
        <v>59</v>
      </c>
      <c r="K27">
        <f t="shared" si="0"/>
        <v>0</v>
      </c>
      <c r="L27" s="4">
        <f t="shared" ca="1" si="1"/>
        <v>25</v>
      </c>
      <c r="M27" t="str">
        <f t="shared" si="2"/>
        <v>Mar-2024</v>
      </c>
      <c r="N27" t="s">
        <v>23</v>
      </c>
    </row>
    <row r="28" spans="1:14" x14ac:dyDescent="0.25">
      <c r="A28" t="s">
        <v>55</v>
      </c>
      <c r="B28" s="1">
        <v>45704</v>
      </c>
      <c r="D28">
        <v>45</v>
      </c>
      <c r="E28" t="s">
        <v>21</v>
      </c>
      <c r="F28" t="s">
        <v>41</v>
      </c>
      <c r="G28" t="s">
        <v>18</v>
      </c>
      <c r="H28">
        <v>6392</v>
      </c>
      <c r="I28">
        <v>8</v>
      </c>
      <c r="J28">
        <v>67</v>
      </c>
      <c r="K28">
        <f t="shared" si="0"/>
        <v>0</v>
      </c>
      <c r="L28" s="4">
        <f t="shared" ca="1" si="1"/>
        <v>14</v>
      </c>
      <c r="M28" t="str">
        <f t="shared" si="2"/>
        <v>Feb-2025</v>
      </c>
      <c r="N28" t="s">
        <v>23</v>
      </c>
    </row>
    <row r="29" spans="1:14" x14ac:dyDescent="0.25">
      <c r="A29" t="s">
        <v>56</v>
      </c>
      <c r="B29" s="1">
        <v>44881</v>
      </c>
      <c r="D29">
        <v>18</v>
      </c>
      <c r="E29" t="s">
        <v>21</v>
      </c>
      <c r="F29" t="s">
        <v>57</v>
      </c>
      <c r="G29" t="s">
        <v>18</v>
      </c>
      <c r="H29">
        <v>28764</v>
      </c>
      <c r="I29">
        <v>36</v>
      </c>
      <c r="J29">
        <v>72</v>
      </c>
      <c r="K29">
        <f t="shared" si="0"/>
        <v>0</v>
      </c>
      <c r="L29" s="4">
        <f t="shared" ca="1" si="1"/>
        <v>41</v>
      </c>
      <c r="M29" t="str">
        <f t="shared" si="2"/>
        <v>Nov-2022</v>
      </c>
      <c r="N29" t="s">
        <v>19</v>
      </c>
    </row>
    <row r="30" spans="1:14" x14ac:dyDescent="0.25">
      <c r="A30" t="s">
        <v>58</v>
      </c>
      <c r="B30" s="1">
        <v>44907</v>
      </c>
      <c r="D30">
        <v>33</v>
      </c>
      <c r="E30" t="s">
        <v>21</v>
      </c>
      <c r="F30" t="s">
        <v>27</v>
      </c>
      <c r="G30" t="s">
        <v>30</v>
      </c>
      <c r="H30">
        <v>26215</v>
      </c>
      <c r="I30">
        <v>35</v>
      </c>
      <c r="J30">
        <v>65</v>
      </c>
      <c r="K30">
        <f t="shared" si="0"/>
        <v>0</v>
      </c>
      <c r="L30" s="4">
        <f t="shared" ca="1" si="1"/>
        <v>40</v>
      </c>
      <c r="M30" t="str">
        <f t="shared" si="2"/>
        <v>Dec-2022</v>
      </c>
      <c r="N30" t="s">
        <v>19</v>
      </c>
    </row>
    <row r="31" spans="1:14" x14ac:dyDescent="0.25">
      <c r="A31" t="s">
        <v>59</v>
      </c>
      <c r="B31" s="1">
        <v>45763</v>
      </c>
      <c r="D31">
        <v>42</v>
      </c>
      <c r="E31" t="s">
        <v>21</v>
      </c>
      <c r="F31" t="s">
        <v>29</v>
      </c>
      <c r="G31" t="s">
        <v>18</v>
      </c>
      <c r="H31">
        <v>4794</v>
      </c>
      <c r="I31">
        <v>6</v>
      </c>
      <c r="J31">
        <v>61</v>
      </c>
      <c r="K31">
        <f t="shared" si="0"/>
        <v>0</v>
      </c>
      <c r="L31" s="4">
        <f t="shared" ca="1" si="1"/>
        <v>12</v>
      </c>
      <c r="M31" t="str">
        <f t="shared" si="2"/>
        <v>Apr-2025</v>
      </c>
      <c r="N31" t="s">
        <v>15</v>
      </c>
    </row>
    <row r="32" spans="1:14" x14ac:dyDescent="0.25">
      <c r="A32" t="s">
        <v>60</v>
      </c>
      <c r="B32" s="1">
        <v>44966</v>
      </c>
      <c r="C32" s="1">
        <v>45236</v>
      </c>
      <c r="D32">
        <v>47</v>
      </c>
      <c r="E32" t="s">
        <v>21</v>
      </c>
      <c r="F32" t="s">
        <v>29</v>
      </c>
      <c r="G32" t="s">
        <v>18</v>
      </c>
      <c r="H32">
        <v>7191</v>
      </c>
      <c r="I32">
        <v>9</v>
      </c>
      <c r="J32">
        <v>24</v>
      </c>
      <c r="K32">
        <f t="shared" si="0"/>
        <v>1</v>
      </c>
      <c r="L32" s="4">
        <f t="shared" ca="1" si="1"/>
        <v>9</v>
      </c>
      <c r="M32" t="str">
        <f t="shared" si="2"/>
        <v>Feb-2023</v>
      </c>
      <c r="N32" t="s">
        <v>19</v>
      </c>
    </row>
    <row r="33" spans="1:14" x14ac:dyDescent="0.25">
      <c r="A33" t="s">
        <v>61</v>
      </c>
      <c r="B33" s="1">
        <v>44931</v>
      </c>
      <c r="D33">
        <v>37</v>
      </c>
      <c r="E33" t="s">
        <v>12</v>
      </c>
      <c r="F33" t="s">
        <v>29</v>
      </c>
      <c r="G33" t="s">
        <v>18</v>
      </c>
      <c r="H33">
        <v>27166</v>
      </c>
      <c r="I33">
        <v>34</v>
      </c>
      <c r="J33">
        <v>41</v>
      </c>
      <c r="K33">
        <f t="shared" si="0"/>
        <v>0</v>
      </c>
      <c r="L33" s="4">
        <f t="shared" ca="1" si="1"/>
        <v>39</v>
      </c>
      <c r="M33" t="str">
        <f t="shared" si="2"/>
        <v>Jan-2023</v>
      </c>
      <c r="N33" t="s">
        <v>19</v>
      </c>
    </row>
    <row r="34" spans="1:14" x14ac:dyDescent="0.25">
      <c r="A34" t="s">
        <v>62</v>
      </c>
      <c r="B34" s="1">
        <v>45345</v>
      </c>
      <c r="D34">
        <v>31</v>
      </c>
      <c r="E34" t="s">
        <v>12</v>
      </c>
      <c r="F34" t="s">
        <v>27</v>
      </c>
      <c r="G34" t="s">
        <v>30</v>
      </c>
      <c r="H34">
        <v>14980</v>
      </c>
      <c r="I34">
        <v>20</v>
      </c>
      <c r="J34">
        <v>70</v>
      </c>
      <c r="K34">
        <f t="shared" si="0"/>
        <v>0</v>
      </c>
      <c r="L34" s="4">
        <f t="shared" ca="1" si="1"/>
        <v>26</v>
      </c>
      <c r="M34" t="str">
        <f t="shared" si="2"/>
        <v>Feb-2024</v>
      </c>
      <c r="N34" t="s">
        <v>19</v>
      </c>
    </row>
    <row r="35" spans="1:14" x14ac:dyDescent="0.25">
      <c r="A35" t="s">
        <v>63</v>
      </c>
      <c r="B35" s="1">
        <v>45719</v>
      </c>
      <c r="D35">
        <v>47</v>
      </c>
      <c r="E35" t="s">
        <v>12</v>
      </c>
      <c r="F35" t="s">
        <v>38</v>
      </c>
      <c r="G35" t="s">
        <v>18</v>
      </c>
      <c r="H35">
        <v>6392</v>
      </c>
      <c r="I35">
        <v>8</v>
      </c>
      <c r="J35">
        <v>50</v>
      </c>
      <c r="K35">
        <f t="shared" si="0"/>
        <v>0</v>
      </c>
      <c r="L35" s="4">
        <f t="shared" ca="1" si="1"/>
        <v>13</v>
      </c>
      <c r="M35" t="str">
        <f t="shared" si="2"/>
        <v>Mar-2025</v>
      </c>
      <c r="N35" t="s">
        <v>19</v>
      </c>
    </row>
    <row r="36" spans="1:14" x14ac:dyDescent="0.25">
      <c r="A36" t="s">
        <v>64</v>
      </c>
      <c r="B36" s="1">
        <v>45759</v>
      </c>
      <c r="D36">
        <v>32</v>
      </c>
      <c r="E36" t="s">
        <v>21</v>
      </c>
      <c r="F36" t="s">
        <v>22</v>
      </c>
      <c r="G36" t="s">
        <v>18</v>
      </c>
      <c r="H36">
        <v>4794</v>
      </c>
      <c r="I36">
        <v>6</v>
      </c>
      <c r="J36">
        <v>57</v>
      </c>
      <c r="K36">
        <f t="shared" si="0"/>
        <v>0</v>
      </c>
      <c r="L36" s="4">
        <f t="shared" ca="1" si="1"/>
        <v>12</v>
      </c>
      <c r="M36" t="str">
        <f t="shared" si="2"/>
        <v>Apr-2025</v>
      </c>
      <c r="N36" t="s">
        <v>19</v>
      </c>
    </row>
    <row r="37" spans="1:14" x14ac:dyDescent="0.25">
      <c r="A37" t="s">
        <v>65</v>
      </c>
      <c r="B37" s="1">
        <v>45495</v>
      </c>
      <c r="D37">
        <v>30</v>
      </c>
      <c r="E37" t="s">
        <v>21</v>
      </c>
      <c r="F37" t="s">
        <v>32</v>
      </c>
      <c r="G37" t="s">
        <v>18</v>
      </c>
      <c r="H37">
        <v>11985</v>
      </c>
      <c r="I37">
        <v>15</v>
      </c>
      <c r="J37">
        <v>46</v>
      </c>
      <c r="K37">
        <f t="shared" si="0"/>
        <v>0</v>
      </c>
      <c r="L37" s="4">
        <f t="shared" ca="1" si="1"/>
        <v>21</v>
      </c>
      <c r="M37" t="str">
        <f t="shared" si="2"/>
        <v>Jul-2024</v>
      </c>
      <c r="N37" t="s">
        <v>25</v>
      </c>
    </row>
    <row r="38" spans="1:14" x14ac:dyDescent="0.25">
      <c r="A38" t="s">
        <v>66</v>
      </c>
      <c r="B38" s="1">
        <v>45040</v>
      </c>
      <c r="D38">
        <v>43</v>
      </c>
      <c r="E38" t="s">
        <v>15</v>
      </c>
      <c r="F38" t="s">
        <v>41</v>
      </c>
      <c r="G38" t="s">
        <v>14</v>
      </c>
      <c r="H38">
        <v>20970</v>
      </c>
      <c r="I38">
        <v>30</v>
      </c>
      <c r="J38">
        <v>75</v>
      </c>
      <c r="K38">
        <f t="shared" si="0"/>
        <v>0</v>
      </c>
      <c r="L38" s="4">
        <f t="shared" ca="1" si="1"/>
        <v>36</v>
      </c>
      <c r="M38" t="str">
        <f t="shared" si="2"/>
        <v>Apr-2023</v>
      </c>
      <c r="N38" t="s">
        <v>19</v>
      </c>
    </row>
    <row r="39" spans="1:14" x14ac:dyDescent="0.25">
      <c r="A39" t="s">
        <v>67</v>
      </c>
      <c r="B39" s="1">
        <v>45275</v>
      </c>
      <c r="D39">
        <v>40</v>
      </c>
      <c r="E39" t="s">
        <v>21</v>
      </c>
      <c r="F39" t="s">
        <v>17</v>
      </c>
      <c r="G39" t="s">
        <v>30</v>
      </c>
      <c r="H39">
        <v>16478</v>
      </c>
      <c r="I39">
        <v>22</v>
      </c>
      <c r="J39">
        <v>47</v>
      </c>
      <c r="K39">
        <f t="shared" si="0"/>
        <v>0</v>
      </c>
      <c r="L39" s="4">
        <f t="shared" ca="1" si="1"/>
        <v>28</v>
      </c>
      <c r="M39" t="str">
        <f t="shared" si="2"/>
        <v>Dec-2023</v>
      </c>
      <c r="N39" t="s">
        <v>19</v>
      </c>
    </row>
    <row r="40" spans="1:14" x14ac:dyDescent="0.25">
      <c r="A40" t="s">
        <v>68</v>
      </c>
      <c r="B40" s="1">
        <v>45266</v>
      </c>
      <c r="D40">
        <v>49</v>
      </c>
      <c r="E40" t="s">
        <v>12</v>
      </c>
      <c r="F40" t="s">
        <v>17</v>
      </c>
      <c r="G40" t="s">
        <v>18</v>
      </c>
      <c r="H40">
        <v>18377</v>
      </c>
      <c r="I40">
        <v>23</v>
      </c>
      <c r="J40">
        <v>82</v>
      </c>
      <c r="K40">
        <f t="shared" si="0"/>
        <v>0</v>
      </c>
      <c r="L40" s="4">
        <f t="shared" ca="1" si="1"/>
        <v>28</v>
      </c>
      <c r="M40" t="str">
        <f t="shared" si="2"/>
        <v>Dec-2023</v>
      </c>
      <c r="N40" t="s">
        <v>19</v>
      </c>
    </row>
    <row r="41" spans="1:14" x14ac:dyDescent="0.25">
      <c r="A41" t="s">
        <v>69</v>
      </c>
      <c r="B41" s="1">
        <v>44968</v>
      </c>
      <c r="D41">
        <v>35</v>
      </c>
      <c r="E41" t="s">
        <v>21</v>
      </c>
      <c r="F41" t="s">
        <v>47</v>
      </c>
      <c r="G41" t="s">
        <v>18</v>
      </c>
      <c r="H41">
        <v>26367</v>
      </c>
      <c r="I41">
        <v>33</v>
      </c>
      <c r="J41">
        <v>48</v>
      </c>
      <c r="K41">
        <f t="shared" si="0"/>
        <v>0</v>
      </c>
      <c r="L41" s="4">
        <f t="shared" ca="1" si="1"/>
        <v>38</v>
      </c>
      <c r="M41" t="str">
        <f t="shared" si="2"/>
        <v>Feb-2023</v>
      </c>
      <c r="N41" t="s">
        <v>23</v>
      </c>
    </row>
    <row r="42" spans="1:14" x14ac:dyDescent="0.25">
      <c r="A42" t="s">
        <v>70</v>
      </c>
      <c r="B42" s="1">
        <v>45805</v>
      </c>
      <c r="C42" s="1">
        <v>45925</v>
      </c>
      <c r="D42">
        <v>40</v>
      </c>
      <c r="E42" t="s">
        <v>21</v>
      </c>
      <c r="F42" t="s">
        <v>17</v>
      </c>
      <c r="G42" t="s">
        <v>18</v>
      </c>
      <c r="H42">
        <v>3196</v>
      </c>
      <c r="I42">
        <v>4</v>
      </c>
      <c r="J42">
        <v>31</v>
      </c>
      <c r="K42">
        <f t="shared" si="0"/>
        <v>1</v>
      </c>
      <c r="L42" s="4">
        <f t="shared" ca="1" si="1"/>
        <v>4</v>
      </c>
      <c r="M42" t="str">
        <f t="shared" si="2"/>
        <v>May-2025</v>
      </c>
      <c r="N42" t="s">
        <v>19</v>
      </c>
    </row>
    <row r="43" spans="1:14" x14ac:dyDescent="0.25">
      <c r="A43" t="s">
        <v>71</v>
      </c>
      <c r="B43" s="1">
        <v>45934</v>
      </c>
      <c r="D43">
        <v>41</v>
      </c>
      <c r="E43" t="s">
        <v>12</v>
      </c>
      <c r="F43" t="s">
        <v>22</v>
      </c>
      <c r="G43" t="s">
        <v>18</v>
      </c>
      <c r="H43">
        <v>799</v>
      </c>
      <c r="I43">
        <v>1</v>
      </c>
      <c r="J43">
        <v>58</v>
      </c>
      <c r="K43">
        <f t="shared" si="0"/>
        <v>0</v>
      </c>
      <c r="L43" s="4">
        <f t="shared" ca="1" si="1"/>
        <v>6</v>
      </c>
      <c r="M43" t="str">
        <f t="shared" si="2"/>
        <v>Oct-2025</v>
      </c>
      <c r="N43" t="s">
        <v>19</v>
      </c>
    </row>
    <row r="44" spans="1:14" x14ac:dyDescent="0.25">
      <c r="A44" t="s">
        <v>72</v>
      </c>
      <c r="B44" s="1">
        <v>45426</v>
      </c>
      <c r="D44">
        <v>24</v>
      </c>
      <c r="E44" t="s">
        <v>21</v>
      </c>
      <c r="F44" t="s">
        <v>32</v>
      </c>
      <c r="G44" t="s">
        <v>14</v>
      </c>
      <c r="H44">
        <v>11883</v>
      </c>
      <c r="I44">
        <v>17</v>
      </c>
      <c r="J44">
        <v>62</v>
      </c>
      <c r="K44">
        <f t="shared" si="0"/>
        <v>0</v>
      </c>
      <c r="L44" s="4">
        <f t="shared" ca="1" si="1"/>
        <v>23</v>
      </c>
      <c r="M44" t="str">
        <f t="shared" si="2"/>
        <v>May-2024</v>
      </c>
      <c r="N44" t="s">
        <v>19</v>
      </c>
    </row>
    <row r="45" spans="1:14" x14ac:dyDescent="0.25">
      <c r="A45" t="s">
        <v>73</v>
      </c>
      <c r="B45" s="1">
        <v>45406</v>
      </c>
      <c r="D45">
        <v>37</v>
      </c>
      <c r="E45" t="s">
        <v>21</v>
      </c>
      <c r="F45" t="s">
        <v>13</v>
      </c>
      <c r="G45" t="s">
        <v>18</v>
      </c>
      <c r="H45">
        <v>14382</v>
      </c>
      <c r="I45">
        <v>18</v>
      </c>
      <c r="J45">
        <v>73</v>
      </c>
      <c r="K45">
        <f t="shared" si="0"/>
        <v>0</v>
      </c>
      <c r="L45" s="4">
        <f t="shared" ca="1" si="1"/>
        <v>24</v>
      </c>
      <c r="M45" t="str">
        <f t="shared" si="2"/>
        <v>Apr-2024</v>
      </c>
      <c r="N45" t="s">
        <v>15</v>
      </c>
    </row>
    <row r="46" spans="1:14" x14ac:dyDescent="0.25">
      <c r="A46" t="s">
        <v>74</v>
      </c>
      <c r="B46" s="1">
        <v>44932</v>
      </c>
      <c r="D46">
        <v>36</v>
      </c>
      <c r="E46" t="s">
        <v>21</v>
      </c>
      <c r="F46" t="s">
        <v>17</v>
      </c>
      <c r="G46" t="s">
        <v>18</v>
      </c>
      <c r="H46">
        <v>27166</v>
      </c>
      <c r="I46">
        <v>34</v>
      </c>
      <c r="J46">
        <v>51</v>
      </c>
      <c r="K46">
        <f t="shared" si="0"/>
        <v>0</v>
      </c>
      <c r="L46" s="4">
        <f t="shared" ca="1" si="1"/>
        <v>39</v>
      </c>
      <c r="M46" t="str">
        <f t="shared" si="2"/>
        <v>Jan-2023</v>
      </c>
      <c r="N46" t="s">
        <v>23</v>
      </c>
    </row>
    <row r="47" spans="1:14" x14ac:dyDescent="0.25">
      <c r="A47" t="s">
        <v>75</v>
      </c>
      <c r="B47" s="1">
        <v>45708</v>
      </c>
      <c r="D47">
        <v>50</v>
      </c>
      <c r="E47" t="s">
        <v>12</v>
      </c>
      <c r="F47" t="s">
        <v>22</v>
      </c>
      <c r="G47" t="s">
        <v>30</v>
      </c>
      <c r="H47">
        <v>5992</v>
      </c>
      <c r="I47">
        <v>8</v>
      </c>
      <c r="J47">
        <v>43</v>
      </c>
      <c r="K47">
        <f t="shared" si="0"/>
        <v>0</v>
      </c>
      <c r="L47" s="4">
        <f t="shared" ca="1" si="1"/>
        <v>13</v>
      </c>
      <c r="M47" t="str">
        <f t="shared" si="2"/>
        <v>Feb-2025</v>
      </c>
      <c r="N47" t="s">
        <v>23</v>
      </c>
    </row>
    <row r="48" spans="1:14" x14ac:dyDescent="0.25">
      <c r="A48" t="s">
        <v>76</v>
      </c>
      <c r="B48" s="1">
        <v>45036</v>
      </c>
      <c r="C48" s="1">
        <v>45516</v>
      </c>
      <c r="D48">
        <v>53</v>
      </c>
      <c r="E48" t="s">
        <v>21</v>
      </c>
      <c r="F48" t="s">
        <v>57</v>
      </c>
      <c r="G48" t="s">
        <v>18</v>
      </c>
      <c r="H48">
        <v>12784</v>
      </c>
      <c r="I48">
        <v>16</v>
      </c>
      <c r="J48">
        <v>52</v>
      </c>
      <c r="K48">
        <f t="shared" si="0"/>
        <v>1</v>
      </c>
      <c r="L48" s="4">
        <f t="shared" ca="1" si="1"/>
        <v>16</v>
      </c>
      <c r="M48" t="str">
        <f t="shared" si="2"/>
        <v>Apr-2023</v>
      </c>
      <c r="N48" t="s">
        <v>23</v>
      </c>
    </row>
    <row r="49" spans="1:14" x14ac:dyDescent="0.25">
      <c r="A49" t="s">
        <v>77</v>
      </c>
      <c r="B49" s="1">
        <v>45879</v>
      </c>
      <c r="D49">
        <v>50</v>
      </c>
      <c r="E49" t="s">
        <v>21</v>
      </c>
      <c r="F49" t="s">
        <v>29</v>
      </c>
      <c r="G49" t="s">
        <v>30</v>
      </c>
      <c r="H49">
        <v>1498</v>
      </c>
      <c r="I49">
        <v>2</v>
      </c>
      <c r="J49">
        <v>68</v>
      </c>
      <c r="K49">
        <f t="shared" si="0"/>
        <v>0</v>
      </c>
      <c r="L49" s="4">
        <f t="shared" ca="1" si="1"/>
        <v>8</v>
      </c>
      <c r="M49" t="str">
        <f t="shared" si="2"/>
        <v>Aug-2025</v>
      </c>
      <c r="N49" t="s">
        <v>19</v>
      </c>
    </row>
    <row r="50" spans="1:14" x14ac:dyDescent="0.25">
      <c r="A50" t="s">
        <v>78</v>
      </c>
      <c r="B50" s="1">
        <v>44873</v>
      </c>
      <c r="D50">
        <v>43</v>
      </c>
      <c r="E50" t="s">
        <v>21</v>
      </c>
      <c r="F50" t="s">
        <v>22</v>
      </c>
      <c r="G50" t="s">
        <v>18</v>
      </c>
      <c r="H50">
        <v>28764</v>
      </c>
      <c r="I50">
        <v>36</v>
      </c>
      <c r="J50">
        <v>42</v>
      </c>
      <c r="K50">
        <f t="shared" si="0"/>
        <v>0</v>
      </c>
      <c r="L50" s="4">
        <f t="shared" ca="1" si="1"/>
        <v>41</v>
      </c>
      <c r="M50" t="str">
        <f t="shared" si="2"/>
        <v>Nov-2022</v>
      </c>
      <c r="N50" t="s">
        <v>23</v>
      </c>
    </row>
    <row r="51" spans="1:14" x14ac:dyDescent="0.25">
      <c r="A51" t="s">
        <v>79</v>
      </c>
      <c r="B51" s="1">
        <v>45452</v>
      </c>
      <c r="D51">
        <v>19</v>
      </c>
      <c r="E51" t="s">
        <v>12</v>
      </c>
      <c r="F51" t="s">
        <v>57</v>
      </c>
      <c r="G51" t="s">
        <v>30</v>
      </c>
      <c r="H51">
        <v>12733</v>
      </c>
      <c r="I51">
        <v>17</v>
      </c>
      <c r="J51">
        <v>73</v>
      </c>
      <c r="K51">
        <f t="shared" si="0"/>
        <v>0</v>
      </c>
      <c r="L51" s="4">
        <f t="shared" ca="1" si="1"/>
        <v>22</v>
      </c>
      <c r="M51" t="str">
        <f t="shared" si="2"/>
        <v>Jun-2024</v>
      </c>
      <c r="N51" t="s">
        <v>19</v>
      </c>
    </row>
    <row r="52" spans="1:14" x14ac:dyDescent="0.25">
      <c r="A52" t="s">
        <v>80</v>
      </c>
      <c r="B52" s="1">
        <v>44941</v>
      </c>
      <c r="D52">
        <v>34</v>
      </c>
      <c r="E52" t="s">
        <v>12</v>
      </c>
      <c r="F52" t="s">
        <v>38</v>
      </c>
      <c r="G52" t="s">
        <v>18</v>
      </c>
      <c r="H52">
        <v>27166</v>
      </c>
      <c r="I52">
        <v>34</v>
      </c>
      <c r="J52">
        <v>51</v>
      </c>
      <c r="K52">
        <f t="shared" si="0"/>
        <v>0</v>
      </c>
      <c r="L52" s="4">
        <f t="shared" ca="1" si="1"/>
        <v>39</v>
      </c>
      <c r="M52" t="str">
        <f t="shared" si="2"/>
        <v>Jan-2023</v>
      </c>
      <c r="N52" t="s">
        <v>19</v>
      </c>
    </row>
    <row r="53" spans="1:14" x14ac:dyDescent="0.25">
      <c r="A53" t="s">
        <v>81</v>
      </c>
      <c r="B53" s="1">
        <v>45158</v>
      </c>
      <c r="D53">
        <v>20</v>
      </c>
      <c r="E53" t="s">
        <v>21</v>
      </c>
      <c r="F53" t="s">
        <v>47</v>
      </c>
      <c r="G53" t="s">
        <v>18</v>
      </c>
      <c r="H53">
        <v>20774</v>
      </c>
      <c r="I53">
        <v>26</v>
      </c>
      <c r="J53">
        <v>74</v>
      </c>
      <c r="K53">
        <f t="shared" si="0"/>
        <v>0</v>
      </c>
      <c r="L53" s="4">
        <f t="shared" ca="1" si="1"/>
        <v>32</v>
      </c>
      <c r="M53" t="str">
        <f t="shared" si="2"/>
        <v>Aug-2023</v>
      </c>
      <c r="N53" t="s">
        <v>23</v>
      </c>
    </row>
    <row r="54" spans="1:14" x14ac:dyDescent="0.25">
      <c r="A54" t="s">
        <v>82</v>
      </c>
      <c r="B54" s="1">
        <v>45710</v>
      </c>
      <c r="D54">
        <v>40</v>
      </c>
      <c r="E54" t="s">
        <v>21</v>
      </c>
      <c r="F54" t="s">
        <v>29</v>
      </c>
      <c r="G54" t="s">
        <v>18</v>
      </c>
      <c r="H54">
        <v>6392</v>
      </c>
      <c r="I54">
        <v>8</v>
      </c>
      <c r="J54">
        <v>55</v>
      </c>
      <c r="K54">
        <f t="shared" si="0"/>
        <v>0</v>
      </c>
      <c r="L54" s="4">
        <f t="shared" ca="1" si="1"/>
        <v>13</v>
      </c>
      <c r="M54" t="str">
        <f t="shared" si="2"/>
        <v>Feb-2025</v>
      </c>
      <c r="N54" t="s">
        <v>19</v>
      </c>
    </row>
    <row r="55" spans="1:14" x14ac:dyDescent="0.25">
      <c r="A55" t="s">
        <v>83</v>
      </c>
      <c r="B55" s="1">
        <v>45755</v>
      </c>
      <c r="D55">
        <v>58</v>
      </c>
      <c r="E55" t="s">
        <v>21</v>
      </c>
      <c r="F55" t="s">
        <v>47</v>
      </c>
      <c r="G55" t="s">
        <v>18</v>
      </c>
      <c r="H55">
        <v>4794</v>
      </c>
      <c r="I55">
        <v>6</v>
      </c>
      <c r="J55">
        <v>89</v>
      </c>
      <c r="K55">
        <f t="shared" si="0"/>
        <v>0</v>
      </c>
      <c r="L55" s="4">
        <f t="shared" ca="1" si="1"/>
        <v>12</v>
      </c>
      <c r="M55" t="str">
        <f t="shared" si="2"/>
        <v>Apr-2025</v>
      </c>
      <c r="N55" t="s">
        <v>19</v>
      </c>
    </row>
    <row r="56" spans="1:14" x14ac:dyDescent="0.25">
      <c r="A56" t="s">
        <v>84</v>
      </c>
      <c r="B56" s="1">
        <v>44996</v>
      </c>
      <c r="D56">
        <v>49</v>
      </c>
      <c r="E56" t="s">
        <v>12</v>
      </c>
      <c r="F56" t="s">
        <v>22</v>
      </c>
      <c r="G56" t="s">
        <v>18</v>
      </c>
      <c r="H56">
        <v>25568</v>
      </c>
      <c r="I56">
        <v>32</v>
      </c>
      <c r="J56">
        <v>34</v>
      </c>
      <c r="K56">
        <f t="shared" si="0"/>
        <v>0</v>
      </c>
      <c r="L56" s="4">
        <f t="shared" ca="1" si="1"/>
        <v>37</v>
      </c>
      <c r="M56" t="str">
        <f t="shared" si="2"/>
        <v>Mar-2023</v>
      </c>
      <c r="N56" t="s">
        <v>23</v>
      </c>
    </row>
    <row r="57" spans="1:14" x14ac:dyDescent="0.25">
      <c r="A57" t="s">
        <v>85</v>
      </c>
      <c r="B57" s="1">
        <v>45209</v>
      </c>
      <c r="D57">
        <v>49</v>
      </c>
      <c r="E57" t="s">
        <v>21</v>
      </c>
      <c r="F57" t="s">
        <v>32</v>
      </c>
      <c r="G57" t="s">
        <v>30</v>
      </c>
      <c r="H57">
        <v>18725</v>
      </c>
      <c r="I57">
        <v>25</v>
      </c>
      <c r="J57">
        <v>89</v>
      </c>
      <c r="K57">
        <f t="shared" si="0"/>
        <v>0</v>
      </c>
      <c r="L57" s="4">
        <f t="shared" ca="1" si="1"/>
        <v>30</v>
      </c>
      <c r="M57" t="str">
        <f t="shared" si="2"/>
        <v>Oct-2023</v>
      </c>
      <c r="N57" t="s">
        <v>19</v>
      </c>
    </row>
    <row r="58" spans="1:14" x14ac:dyDescent="0.25">
      <c r="A58" t="s">
        <v>86</v>
      </c>
      <c r="B58" s="1">
        <v>45864</v>
      </c>
      <c r="C58" s="1">
        <v>45924</v>
      </c>
      <c r="D58">
        <v>44</v>
      </c>
      <c r="E58" t="s">
        <v>21</v>
      </c>
      <c r="F58" t="s">
        <v>47</v>
      </c>
      <c r="G58" t="s">
        <v>18</v>
      </c>
      <c r="H58">
        <v>1598</v>
      </c>
      <c r="I58">
        <v>2</v>
      </c>
      <c r="J58">
        <v>11</v>
      </c>
      <c r="K58">
        <f t="shared" si="0"/>
        <v>1</v>
      </c>
      <c r="L58" s="4">
        <f t="shared" ca="1" si="1"/>
        <v>2</v>
      </c>
      <c r="M58" t="str">
        <f t="shared" si="2"/>
        <v>Jul-2025</v>
      </c>
      <c r="N58" t="s">
        <v>23</v>
      </c>
    </row>
    <row r="59" spans="1:14" x14ac:dyDescent="0.25">
      <c r="A59" t="s">
        <v>87</v>
      </c>
      <c r="B59" s="1">
        <v>45306</v>
      </c>
      <c r="D59">
        <v>24</v>
      </c>
      <c r="E59" t="s">
        <v>12</v>
      </c>
      <c r="F59" t="s">
        <v>27</v>
      </c>
      <c r="G59" t="s">
        <v>14</v>
      </c>
      <c r="H59">
        <v>14679</v>
      </c>
      <c r="I59">
        <v>21</v>
      </c>
      <c r="J59">
        <v>68</v>
      </c>
      <c r="K59">
        <f t="shared" si="0"/>
        <v>0</v>
      </c>
      <c r="L59" s="4">
        <f t="shared" ca="1" si="1"/>
        <v>27</v>
      </c>
      <c r="M59" t="str">
        <f t="shared" si="2"/>
        <v>Jan-2024</v>
      </c>
      <c r="N59" t="s">
        <v>19</v>
      </c>
    </row>
    <row r="60" spans="1:14" x14ac:dyDescent="0.25">
      <c r="A60" t="s">
        <v>88</v>
      </c>
      <c r="B60" s="1">
        <v>45211</v>
      </c>
      <c r="D60">
        <v>27</v>
      </c>
      <c r="E60" t="s">
        <v>12</v>
      </c>
      <c r="F60" t="s">
        <v>57</v>
      </c>
      <c r="G60" t="s">
        <v>18</v>
      </c>
      <c r="H60">
        <v>19975</v>
      </c>
      <c r="I60">
        <v>25</v>
      </c>
      <c r="J60">
        <v>39</v>
      </c>
      <c r="K60">
        <f t="shared" si="0"/>
        <v>0</v>
      </c>
      <c r="L60" s="4">
        <f t="shared" ca="1" si="1"/>
        <v>30</v>
      </c>
      <c r="M60" t="str">
        <f t="shared" si="2"/>
        <v>Oct-2023</v>
      </c>
      <c r="N60" t="s">
        <v>19</v>
      </c>
    </row>
    <row r="61" spans="1:14" x14ac:dyDescent="0.25">
      <c r="A61" t="s">
        <v>89</v>
      </c>
      <c r="B61" s="1">
        <v>45492</v>
      </c>
      <c r="D61">
        <v>50</v>
      </c>
      <c r="E61" t="s">
        <v>12</v>
      </c>
      <c r="F61" t="s">
        <v>29</v>
      </c>
      <c r="G61" t="s">
        <v>30</v>
      </c>
      <c r="H61">
        <v>11235</v>
      </c>
      <c r="I61">
        <v>15</v>
      </c>
      <c r="J61">
        <v>48</v>
      </c>
      <c r="K61">
        <f t="shared" si="0"/>
        <v>0</v>
      </c>
      <c r="L61" s="4">
        <f t="shared" ca="1" si="1"/>
        <v>21</v>
      </c>
      <c r="M61" t="str">
        <f t="shared" si="2"/>
        <v>Jul-2024</v>
      </c>
      <c r="N61" t="s">
        <v>19</v>
      </c>
    </row>
    <row r="62" spans="1:14" x14ac:dyDescent="0.25">
      <c r="A62" t="s">
        <v>90</v>
      </c>
      <c r="B62" s="1">
        <v>45823</v>
      </c>
      <c r="C62" s="1">
        <v>45913</v>
      </c>
      <c r="D62">
        <v>47</v>
      </c>
      <c r="E62" t="s">
        <v>21</v>
      </c>
      <c r="F62" t="s">
        <v>38</v>
      </c>
      <c r="G62" t="s">
        <v>18</v>
      </c>
      <c r="H62">
        <v>2397</v>
      </c>
      <c r="I62">
        <v>3</v>
      </c>
      <c r="J62">
        <v>35</v>
      </c>
      <c r="K62">
        <f t="shared" si="0"/>
        <v>1</v>
      </c>
      <c r="L62" s="4">
        <f t="shared" ca="1" si="1"/>
        <v>3</v>
      </c>
      <c r="M62" t="str">
        <f t="shared" si="2"/>
        <v>Jun-2025</v>
      </c>
      <c r="N62" t="s">
        <v>15</v>
      </c>
    </row>
    <row r="63" spans="1:14" x14ac:dyDescent="0.25">
      <c r="A63" t="s">
        <v>91</v>
      </c>
      <c r="B63" s="1">
        <v>45840</v>
      </c>
      <c r="D63">
        <v>28</v>
      </c>
      <c r="E63" t="s">
        <v>21</v>
      </c>
      <c r="F63" t="s">
        <v>27</v>
      </c>
      <c r="G63" t="s">
        <v>18</v>
      </c>
      <c r="H63">
        <v>3196</v>
      </c>
      <c r="I63">
        <v>4</v>
      </c>
      <c r="J63">
        <v>65</v>
      </c>
      <c r="K63">
        <f t="shared" si="0"/>
        <v>0</v>
      </c>
      <c r="L63" s="4">
        <f t="shared" ca="1" si="1"/>
        <v>9</v>
      </c>
      <c r="M63" t="str">
        <f t="shared" si="2"/>
        <v>Jul-2025</v>
      </c>
      <c r="N63" t="s">
        <v>19</v>
      </c>
    </row>
    <row r="64" spans="1:14" x14ac:dyDescent="0.25">
      <c r="A64" t="s">
        <v>92</v>
      </c>
      <c r="B64" s="1">
        <v>45129</v>
      </c>
      <c r="C64" s="1">
        <v>45549</v>
      </c>
      <c r="D64">
        <v>50</v>
      </c>
      <c r="E64" t="s">
        <v>21</v>
      </c>
      <c r="F64" t="s">
        <v>57</v>
      </c>
      <c r="G64" t="s">
        <v>30</v>
      </c>
      <c r="H64">
        <v>10486</v>
      </c>
      <c r="I64">
        <v>14</v>
      </c>
      <c r="J64">
        <v>20</v>
      </c>
      <c r="K64">
        <f t="shared" si="0"/>
        <v>1</v>
      </c>
      <c r="L64" s="4">
        <f t="shared" ca="1" si="1"/>
        <v>14</v>
      </c>
      <c r="M64" t="str">
        <f t="shared" si="2"/>
        <v>Jul-2023</v>
      </c>
      <c r="N64" t="s">
        <v>19</v>
      </c>
    </row>
    <row r="65" spans="1:14" x14ac:dyDescent="0.25">
      <c r="A65" t="s">
        <v>93</v>
      </c>
      <c r="B65" s="1">
        <v>45398</v>
      </c>
      <c r="D65">
        <v>18</v>
      </c>
      <c r="E65" t="s">
        <v>21</v>
      </c>
      <c r="F65" t="s">
        <v>17</v>
      </c>
      <c r="G65" t="s">
        <v>18</v>
      </c>
      <c r="H65">
        <v>14382</v>
      </c>
      <c r="I65">
        <v>18</v>
      </c>
      <c r="J65">
        <v>72</v>
      </c>
      <c r="K65">
        <f t="shared" si="0"/>
        <v>0</v>
      </c>
      <c r="L65" s="4">
        <f t="shared" ca="1" si="1"/>
        <v>24</v>
      </c>
      <c r="M65" t="str">
        <f t="shared" si="2"/>
        <v>Apr-2024</v>
      </c>
      <c r="N65" t="s">
        <v>19</v>
      </c>
    </row>
    <row r="66" spans="1:14" x14ac:dyDescent="0.25">
      <c r="A66" t="s">
        <v>94</v>
      </c>
      <c r="B66" s="1">
        <v>45605</v>
      </c>
      <c r="D66">
        <v>44</v>
      </c>
      <c r="E66" t="s">
        <v>21</v>
      </c>
      <c r="F66" t="s">
        <v>22</v>
      </c>
      <c r="G66" t="s">
        <v>18</v>
      </c>
      <c r="H66">
        <v>8789</v>
      </c>
      <c r="I66">
        <v>11</v>
      </c>
      <c r="J66">
        <v>42</v>
      </c>
      <c r="K66">
        <f t="shared" si="0"/>
        <v>0</v>
      </c>
      <c r="L66" s="4">
        <f t="shared" ca="1" si="1"/>
        <v>17</v>
      </c>
      <c r="M66" t="str">
        <f t="shared" si="2"/>
        <v>Nov-2024</v>
      </c>
      <c r="N66" t="s">
        <v>19</v>
      </c>
    </row>
    <row r="67" spans="1:14" x14ac:dyDescent="0.25">
      <c r="A67" t="s">
        <v>95</v>
      </c>
      <c r="B67" s="1">
        <v>45365</v>
      </c>
      <c r="D67">
        <v>44</v>
      </c>
      <c r="E67" t="s">
        <v>21</v>
      </c>
      <c r="F67" t="s">
        <v>22</v>
      </c>
      <c r="G67" t="s">
        <v>18</v>
      </c>
      <c r="H67">
        <v>15181</v>
      </c>
      <c r="I67">
        <v>19</v>
      </c>
      <c r="J67">
        <v>51</v>
      </c>
      <c r="K67">
        <f t="shared" ref="K67:K130" si="3">IF(ISBLANK(C67), 0, 1)</f>
        <v>0</v>
      </c>
      <c r="L67" s="4">
        <f t="shared" ref="L67:L130" ca="1" si="4">ROUNDUP(DATEDIF(B67, IF(ISBLANK(C67), TODAY(), C67), "d")/30, 0)</f>
        <v>25</v>
      </c>
      <c r="M67" t="str">
        <f t="shared" ref="M67:M130" si="5">TEXT(B67, "mmm-yyyy")</f>
        <v>Mar-2024</v>
      </c>
      <c r="N67" t="s">
        <v>19</v>
      </c>
    </row>
    <row r="68" spans="1:14" x14ac:dyDescent="0.25">
      <c r="A68" t="s">
        <v>96</v>
      </c>
      <c r="B68" s="1">
        <v>45567</v>
      </c>
      <c r="D68">
        <v>34</v>
      </c>
      <c r="E68" t="s">
        <v>21</v>
      </c>
      <c r="F68" t="s">
        <v>57</v>
      </c>
      <c r="G68" t="s">
        <v>30</v>
      </c>
      <c r="H68">
        <v>9737</v>
      </c>
      <c r="I68">
        <v>13</v>
      </c>
      <c r="J68">
        <v>72</v>
      </c>
      <c r="K68">
        <f t="shared" si="3"/>
        <v>0</v>
      </c>
      <c r="L68" s="4">
        <f t="shared" ca="1" si="4"/>
        <v>18</v>
      </c>
      <c r="M68" t="str">
        <f t="shared" si="5"/>
        <v>Oct-2024</v>
      </c>
      <c r="N68" t="s">
        <v>19</v>
      </c>
    </row>
    <row r="69" spans="1:14" x14ac:dyDescent="0.25">
      <c r="A69" t="s">
        <v>97</v>
      </c>
      <c r="B69" s="1">
        <v>45435</v>
      </c>
      <c r="C69" s="1">
        <v>45885</v>
      </c>
      <c r="D69">
        <v>53</v>
      </c>
      <c r="E69" t="s">
        <v>12</v>
      </c>
      <c r="F69" t="s">
        <v>27</v>
      </c>
      <c r="G69" t="s">
        <v>18</v>
      </c>
      <c r="H69">
        <v>11985</v>
      </c>
      <c r="I69">
        <v>15</v>
      </c>
      <c r="J69">
        <v>36</v>
      </c>
      <c r="K69">
        <f t="shared" si="3"/>
        <v>1</v>
      </c>
      <c r="L69" s="4">
        <f t="shared" ca="1" si="4"/>
        <v>15</v>
      </c>
      <c r="M69" t="str">
        <f t="shared" si="5"/>
        <v>May-2024</v>
      </c>
      <c r="N69" t="s">
        <v>19</v>
      </c>
    </row>
    <row r="70" spans="1:14" x14ac:dyDescent="0.25">
      <c r="A70" t="s">
        <v>98</v>
      </c>
      <c r="B70" s="1">
        <v>45237</v>
      </c>
      <c r="D70">
        <v>60</v>
      </c>
      <c r="E70" t="s">
        <v>21</v>
      </c>
      <c r="F70" t="s">
        <v>41</v>
      </c>
      <c r="G70" t="s">
        <v>18</v>
      </c>
      <c r="H70">
        <v>19176</v>
      </c>
      <c r="I70">
        <v>24</v>
      </c>
      <c r="J70">
        <v>86</v>
      </c>
      <c r="K70">
        <f t="shared" si="3"/>
        <v>0</v>
      </c>
      <c r="L70" s="4">
        <f t="shared" ca="1" si="4"/>
        <v>29</v>
      </c>
      <c r="M70" t="str">
        <f t="shared" si="5"/>
        <v>Nov-2023</v>
      </c>
      <c r="N70" t="s">
        <v>19</v>
      </c>
    </row>
    <row r="71" spans="1:14" x14ac:dyDescent="0.25">
      <c r="A71" t="s">
        <v>99</v>
      </c>
      <c r="B71" s="1">
        <v>45125</v>
      </c>
      <c r="D71">
        <v>42</v>
      </c>
      <c r="E71" t="s">
        <v>21</v>
      </c>
      <c r="F71" t="s">
        <v>57</v>
      </c>
      <c r="G71" t="s">
        <v>18</v>
      </c>
      <c r="H71">
        <v>21573</v>
      </c>
      <c r="I71">
        <v>27</v>
      </c>
      <c r="J71">
        <v>55</v>
      </c>
      <c r="K71">
        <f t="shared" si="3"/>
        <v>0</v>
      </c>
      <c r="L71" s="4">
        <f t="shared" ca="1" si="4"/>
        <v>33</v>
      </c>
      <c r="M71" t="str">
        <f t="shared" si="5"/>
        <v>Jul-2023</v>
      </c>
      <c r="N71" t="s">
        <v>25</v>
      </c>
    </row>
    <row r="72" spans="1:14" x14ac:dyDescent="0.25">
      <c r="A72" t="s">
        <v>100</v>
      </c>
      <c r="B72" s="1">
        <v>45752</v>
      </c>
      <c r="D72">
        <v>29</v>
      </c>
      <c r="E72" t="s">
        <v>21</v>
      </c>
      <c r="F72" t="s">
        <v>29</v>
      </c>
      <c r="G72" t="s">
        <v>18</v>
      </c>
      <c r="H72">
        <v>5593</v>
      </c>
      <c r="I72">
        <v>7</v>
      </c>
      <c r="J72">
        <v>63</v>
      </c>
      <c r="K72">
        <f t="shared" si="3"/>
        <v>0</v>
      </c>
      <c r="L72" s="4">
        <f t="shared" ca="1" si="4"/>
        <v>12</v>
      </c>
      <c r="M72" t="str">
        <f t="shared" si="5"/>
        <v>Apr-2025</v>
      </c>
      <c r="N72" t="s">
        <v>19</v>
      </c>
    </row>
    <row r="73" spans="1:14" x14ac:dyDescent="0.25">
      <c r="A73" t="s">
        <v>101</v>
      </c>
      <c r="B73" s="1">
        <v>45705</v>
      </c>
      <c r="D73">
        <v>47</v>
      </c>
      <c r="E73" t="s">
        <v>12</v>
      </c>
      <c r="F73" t="s">
        <v>22</v>
      </c>
      <c r="G73" t="s">
        <v>14</v>
      </c>
      <c r="H73">
        <v>5592</v>
      </c>
      <c r="I73">
        <v>8</v>
      </c>
      <c r="J73">
        <v>40</v>
      </c>
      <c r="K73">
        <f t="shared" si="3"/>
        <v>0</v>
      </c>
      <c r="L73" s="4">
        <f t="shared" ca="1" si="4"/>
        <v>14</v>
      </c>
      <c r="M73" t="str">
        <f t="shared" si="5"/>
        <v>Feb-2025</v>
      </c>
      <c r="N73" t="s">
        <v>15</v>
      </c>
    </row>
    <row r="74" spans="1:14" x14ac:dyDescent="0.25">
      <c r="A74" t="s">
        <v>102</v>
      </c>
      <c r="B74" s="1">
        <v>45576</v>
      </c>
      <c r="D74">
        <v>40</v>
      </c>
      <c r="E74" t="s">
        <v>12</v>
      </c>
      <c r="F74" t="s">
        <v>32</v>
      </c>
      <c r="G74" t="s">
        <v>18</v>
      </c>
      <c r="H74">
        <v>9588</v>
      </c>
      <c r="I74">
        <v>12</v>
      </c>
      <c r="J74">
        <v>48</v>
      </c>
      <c r="K74">
        <f t="shared" si="3"/>
        <v>0</v>
      </c>
      <c r="L74" s="4">
        <f t="shared" ca="1" si="4"/>
        <v>18</v>
      </c>
      <c r="M74" t="str">
        <f t="shared" si="5"/>
        <v>Oct-2024</v>
      </c>
      <c r="N74" t="s">
        <v>19</v>
      </c>
    </row>
    <row r="75" spans="1:14" x14ac:dyDescent="0.25">
      <c r="A75" t="s">
        <v>103</v>
      </c>
      <c r="B75" s="1">
        <v>45637</v>
      </c>
      <c r="D75">
        <v>21</v>
      </c>
      <c r="E75" t="s">
        <v>12</v>
      </c>
      <c r="F75" t="s">
        <v>47</v>
      </c>
      <c r="G75" t="s">
        <v>18</v>
      </c>
      <c r="H75">
        <v>7990</v>
      </c>
      <c r="I75">
        <v>10</v>
      </c>
      <c r="J75">
        <v>54</v>
      </c>
      <c r="K75">
        <f t="shared" si="3"/>
        <v>0</v>
      </c>
      <c r="L75" s="4">
        <f t="shared" ca="1" si="4"/>
        <v>16</v>
      </c>
      <c r="M75" t="str">
        <f t="shared" si="5"/>
        <v>Dec-2024</v>
      </c>
      <c r="N75" t="s">
        <v>25</v>
      </c>
    </row>
    <row r="76" spans="1:14" x14ac:dyDescent="0.25">
      <c r="A76" t="s">
        <v>104</v>
      </c>
      <c r="B76" s="1">
        <v>45613</v>
      </c>
      <c r="D76">
        <v>58</v>
      </c>
      <c r="E76" t="s">
        <v>12</v>
      </c>
      <c r="F76" t="s">
        <v>47</v>
      </c>
      <c r="G76" t="s">
        <v>18</v>
      </c>
      <c r="H76">
        <v>8789</v>
      </c>
      <c r="I76">
        <v>11</v>
      </c>
      <c r="J76">
        <v>67</v>
      </c>
      <c r="K76">
        <f t="shared" si="3"/>
        <v>0</v>
      </c>
      <c r="L76" s="4">
        <f t="shared" ca="1" si="4"/>
        <v>17</v>
      </c>
      <c r="M76" t="str">
        <f t="shared" si="5"/>
        <v>Nov-2024</v>
      </c>
      <c r="N76" t="s">
        <v>19</v>
      </c>
    </row>
    <row r="77" spans="1:14" x14ac:dyDescent="0.25">
      <c r="A77" t="s">
        <v>105</v>
      </c>
      <c r="B77" s="1">
        <v>45936</v>
      </c>
      <c r="D77">
        <v>56</v>
      </c>
      <c r="E77" t="s">
        <v>21</v>
      </c>
      <c r="F77" t="s">
        <v>38</v>
      </c>
      <c r="G77" t="s">
        <v>30</v>
      </c>
      <c r="H77">
        <v>749</v>
      </c>
      <c r="I77">
        <v>1</v>
      </c>
      <c r="J77">
        <v>48</v>
      </c>
      <c r="K77">
        <f t="shared" si="3"/>
        <v>0</v>
      </c>
      <c r="L77" s="4">
        <f t="shared" ca="1" si="4"/>
        <v>6</v>
      </c>
      <c r="M77" t="str">
        <f t="shared" si="5"/>
        <v>Oct-2025</v>
      </c>
      <c r="N77" t="s">
        <v>19</v>
      </c>
    </row>
    <row r="78" spans="1:14" x14ac:dyDescent="0.25">
      <c r="A78" t="s">
        <v>106</v>
      </c>
      <c r="B78" s="1">
        <v>45358</v>
      </c>
      <c r="D78">
        <v>34</v>
      </c>
      <c r="E78" t="s">
        <v>21</v>
      </c>
      <c r="F78" t="s">
        <v>47</v>
      </c>
      <c r="G78" t="s">
        <v>18</v>
      </c>
      <c r="H78">
        <v>15980</v>
      </c>
      <c r="I78">
        <v>20</v>
      </c>
      <c r="J78">
        <v>85</v>
      </c>
      <c r="K78">
        <f t="shared" si="3"/>
        <v>0</v>
      </c>
      <c r="L78" s="4">
        <f t="shared" ca="1" si="4"/>
        <v>25</v>
      </c>
      <c r="M78" t="str">
        <f t="shared" si="5"/>
        <v>Mar-2024</v>
      </c>
      <c r="N78" t="s">
        <v>19</v>
      </c>
    </row>
    <row r="79" spans="1:14" x14ac:dyDescent="0.25">
      <c r="A79" t="s">
        <v>107</v>
      </c>
      <c r="B79" s="1">
        <v>44869</v>
      </c>
      <c r="C79" s="1">
        <v>45199</v>
      </c>
      <c r="D79">
        <v>23</v>
      </c>
      <c r="E79" t="s">
        <v>12</v>
      </c>
      <c r="F79" t="s">
        <v>41</v>
      </c>
      <c r="G79" t="s">
        <v>18</v>
      </c>
      <c r="H79">
        <v>8789</v>
      </c>
      <c r="I79">
        <v>11</v>
      </c>
      <c r="J79">
        <v>30</v>
      </c>
      <c r="K79">
        <f t="shared" si="3"/>
        <v>1</v>
      </c>
      <c r="L79" s="4">
        <f t="shared" ca="1" si="4"/>
        <v>11</v>
      </c>
      <c r="M79" t="str">
        <f t="shared" si="5"/>
        <v>Nov-2022</v>
      </c>
      <c r="N79" t="s">
        <v>19</v>
      </c>
    </row>
    <row r="80" spans="1:14" x14ac:dyDescent="0.25">
      <c r="A80" t="s">
        <v>108</v>
      </c>
      <c r="B80" s="1">
        <v>45118</v>
      </c>
      <c r="D80">
        <v>58</v>
      </c>
      <c r="E80" t="s">
        <v>15</v>
      </c>
      <c r="F80" t="s">
        <v>57</v>
      </c>
      <c r="G80" t="s">
        <v>18</v>
      </c>
      <c r="H80">
        <v>22372</v>
      </c>
      <c r="I80">
        <v>28</v>
      </c>
      <c r="J80">
        <v>45</v>
      </c>
      <c r="K80">
        <f t="shared" si="3"/>
        <v>0</v>
      </c>
      <c r="L80" s="4">
        <f t="shared" ca="1" si="4"/>
        <v>33</v>
      </c>
      <c r="M80" t="str">
        <f t="shared" si="5"/>
        <v>Jul-2023</v>
      </c>
      <c r="N80" t="s">
        <v>19</v>
      </c>
    </row>
    <row r="81" spans="1:14" x14ac:dyDescent="0.25">
      <c r="A81" t="s">
        <v>109</v>
      </c>
      <c r="B81" s="1">
        <v>45628</v>
      </c>
      <c r="D81">
        <v>23</v>
      </c>
      <c r="E81" t="s">
        <v>12</v>
      </c>
      <c r="F81" t="s">
        <v>17</v>
      </c>
      <c r="G81" t="s">
        <v>30</v>
      </c>
      <c r="H81">
        <v>8239</v>
      </c>
      <c r="I81">
        <v>11</v>
      </c>
      <c r="J81">
        <v>50</v>
      </c>
      <c r="K81">
        <f t="shared" si="3"/>
        <v>0</v>
      </c>
      <c r="L81" s="4">
        <f t="shared" ca="1" si="4"/>
        <v>16</v>
      </c>
      <c r="M81" t="str">
        <f t="shared" si="5"/>
        <v>Dec-2024</v>
      </c>
      <c r="N81" t="s">
        <v>23</v>
      </c>
    </row>
    <row r="82" spans="1:14" x14ac:dyDescent="0.25">
      <c r="A82" t="s">
        <v>110</v>
      </c>
      <c r="B82" s="1">
        <v>45245</v>
      </c>
      <c r="D82">
        <v>49</v>
      </c>
      <c r="E82" t="s">
        <v>21</v>
      </c>
      <c r="F82" t="s">
        <v>22</v>
      </c>
      <c r="G82" t="s">
        <v>18</v>
      </c>
      <c r="H82">
        <v>18377</v>
      </c>
      <c r="I82">
        <v>23</v>
      </c>
      <c r="J82">
        <v>52</v>
      </c>
      <c r="K82">
        <f t="shared" si="3"/>
        <v>0</v>
      </c>
      <c r="L82" s="4">
        <f t="shared" ca="1" si="4"/>
        <v>29</v>
      </c>
      <c r="M82" t="str">
        <f t="shared" si="5"/>
        <v>Nov-2023</v>
      </c>
      <c r="N82" t="s">
        <v>23</v>
      </c>
    </row>
    <row r="83" spans="1:14" x14ac:dyDescent="0.25">
      <c r="A83" t="s">
        <v>111</v>
      </c>
      <c r="B83" s="1">
        <v>45326</v>
      </c>
      <c r="D83">
        <v>36</v>
      </c>
      <c r="E83" t="s">
        <v>12</v>
      </c>
      <c r="F83" t="s">
        <v>17</v>
      </c>
      <c r="G83" t="s">
        <v>30</v>
      </c>
      <c r="H83">
        <v>15729</v>
      </c>
      <c r="I83">
        <v>21</v>
      </c>
      <c r="J83">
        <v>69</v>
      </c>
      <c r="K83">
        <f t="shared" si="3"/>
        <v>0</v>
      </c>
      <c r="L83" s="4">
        <f t="shared" ca="1" si="4"/>
        <v>26</v>
      </c>
      <c r="M83" t="str">
        <f t="shared" si="5"/>
        <v>Feb-2024</v>
      </c>
      <c r="N83" t="s">
        <v>19</v>
      </c>
    </row>
    <row r="84" spans="1:14" x14ac:dyDescent="0.25">
      <c r="A84" t="s">
        <v>112</v>
      </c>
      <c r="B84" s="1">
        <v>45790</v>
      </c>
      <c r="D84">
        <v>59</v>
      </c>
      <c r="E84" t="s">
        <v>21</v>
      </c>
      <c r="F84" t="s">
        <v>32</v>
      </c>
      <c r="G84" t="s">
        <v>14</v>
      </c>
      <c r="H84">
        <v>3495</v>
      </c>
      <c r="I84">
        <v>5</v>
      </c>
      <c r="J84">
        <v>58</v>
      </c>
      <c r="K84">
        <f t="shared" si="3"/>
        <v>0</v>
      </c>
      <c r="L84" s="4">
        <f t="shared" ca="1" si="4"/>
        <v>11</v>
      </c>
      <c r="M84" t="str">
        <f t="shared" si="5"/>
        <v>May-2025</v>
      </c>
      <c r="N84" t="s">
        <v>19</v>
      </c>
    </row>
    <row r="85" spans="1:14" x14ac:dyDescent="0.25">
      <c r="A85" t="s">
        <v>113</v>
      </c>
      <c r="B85" s="1">
        <v>44893</v>
      </c>
      <c r="D85">
        <v>52</v>
      </c>
      <c r="E85" t="s">
        <v>21</v>
      </c>
      <c r="F85" t="s">
        <v>47</v>
      </c>
      <c r="G85" t="s">
        <v>30</v>
      </c>
      <c r="H85">
        <v>26215</v>
      </c>
      <c r="I85">
        <v>35</v>
      </c>
      <c r="J85">
        <v>43</v>
      </c>
      <c r="K85">
        <f t="shared" si="3"/>
        <v>0</v>
      </c>
      <c r="L85" s="4">
        <f t="shared" ca="1" si="4"/>
        <v>41</v>
      </c>
      <c r="M85" t="str">
        <f t="shared" si="5"/>
        <v>Nov-2022</v>
      </c>
      <c r="N85" t="s">
        <v>19</v>
      </c>
    </row>
    <row r="86" spans="1:14" x14ac:dyDescent="0.25">
      <c r="A86" t="s">
        <v>114</v>
      </c>
      <c r="B86" s="1">
        <v>45661</v>
      </c>
      <c r="D86">
        <v>46</v>
      </c>
      <c r="E86" t="s">
        <v>12</v>
      </c>
      <c r="F86" t="s">
        <v>38</v>
      </c>
      <c r="G86" t="s">
        <v>30</v>
      </c>
      <c r="H86">
        <v>7490</v>
      </c>
      <c r="I86">
        <v>10</v>
      </c>
      <c r="J86">
        <v>34</v>
      </c>
      <c r="K86">
        <f t="shared" si="3"/>
        <v>0</v>
      </c>
      <c r="L86" s="4">
        <f t="shared" ca="1" si="4"/>
        <v>15</v>
      </c>
      <c r="M86" t="str">
        <f t="shared" si="5"/>
        <v>Jan-2025</v>
      </c>
      <c r="N86" t="s">
        <v>19</v>
      </c>
    </row>
    <row r="87" spans="1:14" x14ac:dyDescent="0.25">
      <c r="A87" t="s">
        <v>115</v>
      </c>
      <c r="B87" s="1">
        <v>45561</v>
      </c>
      <c r="C87" s="1">
        <v>45771</v>
      </c>
      <c r="D87">
        <v>53</v>
      </c>
      <c r="E87" t="s">
        <v>21</v>
      </c>
      <c r="F87" t="s">
        <v>32</v>
      </c>
      <c r="G87" t="s">
        <v>18</v>
      </c>
      <c r="H87">
        <v>5593</v>
      </c>
      <c r="I87">
        <v>7</v>
      </c>
      <c r="J87">
        <v>31</v>
      </c>
      <c r="K87">
        <f t="shared" si="3"/>
        <v>1</v>
      </c>
      <c r="L87" s="4">
        <f t="shared" ca="1" si="4"/>
        <v>7</v>
      </c>
      <c r="M87" t="str">
        <f t="shared" si="5"/>
        <v>Sep-2024</v>
      </c>
      <c r="N87" t="s">
        <v>19</v>
      </c>
    </row>
    <row r="88" spans="1:14" x14ac:dyDescent="0.25">
      <c r="A88" t="s">
        <v>116</v>
      </c>
      <c r="B88" s="1">
        <v>45648</v>
      </c>
      <c r="D88">
        <v>27</v>
      </c>
      <c r="E88" t="s">
        <v>21</v>
      </c>
      <c r="F88" t="s">
        <v>13</v>
      </c>
      <c r="G88" t="s">
        <v>18</v>
      </c>
      <c r="H88">
        <v>7990</v>
      </c>
      <c r="I88">
        <v>10</v>
      </c>
      <c r="J88">
        <v>99</v>
      </c>
      <c r="K88">
        <f t="shared" si="3"/>
        <v>0</v>
      </c>
      <c r="L88" s="4">
        <f t="shared" ca="1" si="4"/>
        <v>15</v>
      </c>
      <c r="M88" t="str">
        <f t="shared" si="5"/>
        <v>Dec-2024</v>
      </c>
      <c r="N88" t="s">
        <v>19</v>
      </c>
    </row>
    <row r="89" spans="1:14" x14ac:dyDescent="0.25">
      <c r="A89" t="s">
        <v>117</v>
      </c>
      <c r="B89" s="1">
        <v>45430</v>
      </c>
      <c r="D89">
        <v>32</v>
      </c>
      <c r="E89" t="s">
        <v>12</v>
      </c>
      <c r="F89" t="s">
        <v>47</v>
      </c>
      <c r="G89" t="s">
        <v>18</v>
      </c>
      <c r="H89">
        <v>13583</v>
      </c>
      <c r="I89">
        <v>17</v>
      </c>
      <c r="J89">
        <v>72</v>
      </c>
      <c r="K89">
        <f t="shared" si="3"/>
        <v>0</v>
      </c>
      <c r="L89" s="4">
        <f t="shared" ca="1" si="4"/>
        <v>23</v>
      </c>
      <c r="M89" t="str">
        <f t="shared" si="5"/>
        <v>May-2024</v>
      </c>
      <c r="N89" t="s">
        <v>25</v>
      </c>
    </row>
    <row r="90" spans="1:14" x14ac:dyDescent="0.25">
      <c r="A90" t="s">
        <v>118</v>
      </c>
      <c r="B90" s="1">
        <v>45329</v>
      </c>
      <c r="D90">
        <v>44</v>
      </c>
      <c r="E90" t="s">
        <v>12</v>
      </c>
      <c r="F90" t="s">
        <v>41</v>
      </c>
      <c r="G90" t="s">
        <v>30</v>
      </c>
      <c r="H90">
        <v>15729</v>
      </c>
      <c r="I90">
        <v>21</v>
      </c>
      <c r="J90">
        <v>52</v>
      </c>
      <c r="K90">
        <f t="shared" si="3"/>
        <v>0</v>
      </c>
      <c r="L90" s="4">
        <f t="shared" ca="1" si="4"/>
        <v>26</v>
      </c>
      <c r="M90" t="str">
        <f t="shared" si="5"/>
        <v>Feb-2024</v>
      </c>
      <c r="N90" t="s">
        <v>19</v>
      </c>
    </row>
    <row r="91" spans="1:14" x14ac:dyDescent="0.25">
      <c r="A91" t="s">
        <v>119</v>
      </c>
      <c r="B91" s="1">
        <v>45492</v>
      </c>
      <c r="D91">
        <v>32</v>
      </c>
      <c r="E91" t="s">
        <v>12</v>
      </c>
      <c r="F91" t="s">
        <v>47</v>
      </c>
      <c r="G91" t="s">
        <v>18</v>
      </c>
      <c r="H91">
        <v>11985</v>
      </c>
      <c r="I91">
        <v>15</v>
      </c>
      <c r="J91">
        <v>83</v>
      </c>
      <c r="K91">
        <f t="shared" si="3"/>
        <v>0</v>
      </c>
      <c r="L91" s="4">
        <f t="shared" ca="1" si="4"/>
        <v>21</v>
      </c>
      <c r="M91" t="str">
        <f t="shared" si="5"/>
        <v>Jul-2024</v>
      </c>
      <c r="N91" t="s">
        <v>23</v>
      </c>
    </row>
    <row r="92" spans="1:14" x14ac:dyDescent="0.25">
      <c r="A92" t="s">
        <v>120</v>
      </c>
      <c r="B92" s="1">
        <v>45467</v>
      </c>
      <c r="C92" s="1">
        <v>45707</v>
      </c>
      <c r="D92">
        <v>47</v>
      </c>
      <c r="E92" t="s">
        <v>15</v>
      </c>
      <c r="F92" t="s">
        <v>22</v>
      </c>
      <c r="G92" t="s">
        <v>18</v>
      </c>
      <c r="H92">
        <v>6392</v>
      </c>
      <c r="I92">
        <v>8</v>
      </c>
      <c r="J92">
        <v>29</v>
      </c>
      <c r="K92">
        <f t="shared" si="3"/>
        <v>1</v>
      </c>
      <c r="L92" s="4">
        <f t="shared" ca="1" si="4"/>
        <v>8</v>
      </c>
      <c r="M92" t="str">
        <f t="shared" si="5"/>
        <v>Jun-2024</v>
      </c>
      <c r="N92" t="s">
        <v>15</v>
      </c>
    </row>
    <row r="93" spans="1:14" x14ac:dyDescent="0.25">
      <c r="A93" t="s">
        <v>121</v>
      </c>
      <c r="B93" s="1">
        <v>45857</v>
      </c>
      <c r="C93" s="1">
        <v>45887</v>
      </c>
      <c r="D93">
        <v>54</v>
      </c>
      <c r="E93" t="s">
        <v>21</v>
      </c>
      <c r="F93" t="s">
        <v>41</v>
      </c>
      <c r="G93" t="s">
        <v>18</v>
      </c>
      <c r="H93">
        <v>799</v>
      </c>
      <c r="I93">
        <v>1</v>
      </c>
      <c r="J93">
        <v>100</v>
      </c>
      <c r="K93">
        <f t="shared" si="3"/>
        <v>1</v>
      </c>
      <c r="L93" s="4">
        <f t="shared" ca="1" si="4"/>
        <v>1</v>
      </c>
      <c r="M93" t="str">
        <f t="shared" si="5"/>
        <v>Jul-2025</v>
      </c>
      <c r="N93" t="s">
        <v>19</v>
      </c>
    </row>
    <row r="94" spans="1:14" x14ac:dyDescent="0.25">
      <c r="A94" t="s">
        <v>122</v>
      </c>
      <c r="B94" s="1">
        <v>45529</v>
      </c>
      <c r="D94">
        <v>34</v>
      </c>
      <c r="E94" t="s">
        <v>12</v>
      </c>
      <c r="F94" t="s">
        <v>29</v>
      </c>
      <c r="G94" t="s">
        <v>18</v>
      </c>
      <c r="H94">
        <v>11186</v>
      </c>
      <c r="I94">
        <v>14</v>
      </c>
      <c r="J94">
        <v>69</v>
      </c>
      <c r="K94">
        <f t="shared" si="3"/>
        <v>0</v>
      </c>
      <c r="L94" s="4">
        <f t="shared" ca="1" si="4"/>
        <v>19</v>
      </c>
      <c r="M94" t="str">
        <f t="shared" si="5"/>
        <v>Aug-2024</v>
      </c>
      <c r="N94" t="s">
        <v>19</v>
      </c>
    </row>
    <row r="95" spans="1:14" x14ac:dyDescent="0.25">
      <c r="A95" t="s">
        <v>123</v>
      </c>
      <c r="B95" s="1">
        <v>45932</v>
      </c>
      <c r="D95">
        <v>21</v>
      </c>
      <c r="E95" t="s">
        <v>21</v>
      </c>
      <c r="F95" t="s">
        <v>27</v>
      </c>
      <c r="G95" t="s">
        <v>18</v>
      </c>
      <c r="H95">
        <v>799</v>
      </c>
      <c r="I95">
        <v>1</v>
      </c>
      <c r="J95">
        <v>76</v>
      </c>
      <c r="K95">
        <f t="shared" si="3"/>
        <v>0</v>
      </c>
      <c r="L95" s="4">
        <f t="shared" ca="1" si="4"/>
        <v>6</v>
      </c>
      <c r="M95" t="str">
        <f t="shared" si="5"/>
        <v>Oct-2025</v>
      </c>
      <c r="N95" t="s">
        <v>23</v>
      </c>
    </row>
    <row r="96" spans="1:14" x14ac:dyDescent="0.25">
      <c r="A96" t="s">
        <v>124</v>
      </c>
      <c r="B96" s="1">
        <v>45587</v>
      </c>
      <c r="D96">
        <v>41</v>
      </c>
      <c r="E96" t="s">
        <v>12</v>
      </c>
      <c r="F96" t="s">
        <v>47</v>
      </c>
      <c r="G96" t="s">
        <v>18</v>
      </c>
      <c r="H96">
        <v>9588</v>
      </c>
      <c r="I96">
        <v>12</v>
      </c>
      <c r="J96">
        <v>89</v>
      </c>
      <c r="K96">
        <f t="shared" si="3"/>
        <v>0</v>
      </c>
      <c r="L96" s="4">
        <f t="shared" ca="1" si="4"/>
        <v>17</v>
      </c>
      <c r="M96" t="str">
        <f t="shared" si="5"/>
        <v>Oct-2024</v>
      </c>
      <c r="N96" t="s">
        <v>19</v>
      </c>
    </row>
    <row r="97" spans="1:14" x14ac:dyDescent="0.25">
      <c r="A97" t="s">
        <v>125</v>
      </c>
      <c r="B97" s="1">
        <v>44955</v>
      </c>
      <c r="D97">
        <v>50</v>
      </c>
      <c r="E97" t="s">
        <v>21</v>
      </c>
      <c r="F97" t="s">
        <v>29</v>
      </c>
      <c r="G97" t="s">
        <v>18</v>
      </c>
      <c r="H97">
        <v>26367</v>
      </c>
      <c r="I97">
        <v>33</v>
      </c>
      <c r="J97">
        <v>54</v>
      </c>
      <c r="K97">
        <f t="shared" si="3"/>
        <v>0</v>
      </c>
      <c r="L97" s="4">
        <f t="shared" ca="1" si="4"/>
        <v>39</v>
      </c>
      <c r="M97" t="str">
        <f t="shared" si="5"/>
        <v>Jan-2023</v>
      </c>
      <c r="N97" t="s">
        <v>25</v>
      </c>
    </row>
    <row r="98" spans="1:14" x14ac:dyDescent="0.25">
      <c r="A98" t="s">
        <v>126</v>
      </c>
      <c r="B98" s="1">
        <v>45765</v>
      </c>
      <c r="D98">
        <v>29</v>
      </c>
      <c r="E98" t="s">
        <v>12</v>
      </c>
      <c r="F98" t="s">
        <v>29</v>
      </c>
      <c r="G98" t="s">
        <v>14</v>
      </c>
      <c r="H98">
        <v>4194</v>
      </c>
      <c r="I98">
        <v>6</v>
      </c>
      <c r="J98">
        <v>90</v>
      </c>
      <c r="K98">
        <f t="shared" si="3"/>
        <v>0</v>
      </c>
      <c r="L98" s="4">
        <f t="shared" ca="1" si="4"/>
        <v>12</v>
      </c>
      <c r="M98" t="str">
        <f t="shared" si="5"/>
        <v>Apr-2025</v>
      </c>
      <c r="N98" t="s">
        <v>15</v>
      </c>
    </row>
    <row r="99" spans="1:14" x14ac:dyDescent="0.25">
      <c r="A99" t="s">
        <v>127</v>
      </c>
      <c r="B99" s="1">
        <v>45558</v>
      </c>
      <c r="C99" s="1">
        <v>45708</v>
      </c>
      <c r="D99">
        <v>40</v>
      </c>
      <c r="E99" t="s">
        <v>21</v>
      </c>
      <c r="F99" t="s">
        <v>29</v>
      </c>
      <c r="G99" t="s">
        <v>18</v>
      </c>
      <c r="H99">
        <v>3995</v>
      </c>
      <c r="I99">
        <v>5</v>
      </c>
      <c r="J99">
        <v>18</v>
      </c>
      <c r="K99">
        <f t="shared" si="3"/>
        <v>1</v>
      </c>
      <c r="L99" s="4">
        <f t="shared" ca="1" si="4"/>
        <v>5</v>
      </c>
      <c r="M99" t="str">
        <f t="shared" si="5"/>
        <v>Sep-2024</v>
      </c>
      <c r="N99" t="s">
        <v>19</v>
      </c>
    </row>
    <row r="100" spans="1:14" x14ac:dyDescent="0.25">
      <c r="A100" t="s">
        <v>128</v>
      </c>
      <c r="B100" s="1">
        <v>45141</v>
      </c>
      <c r="D100">
        <v>55</v>
      </c>
      <c r="E100" t="s">
        <v>12</v>
      </c>
      <c r="F100" t="s">
        <v>47</v>
      </c>
      <c r="G100" t="s">
        <v>18</v>
      </c>
      <c r="H100">
        <v>21573</v>
      </c>
      <c r="I100">
        <v>27</v>
      </c>
      <c r="J100">
        <v>66</v>
      </c>
      <c r="K100">
        <f t="shared" si="3"/>
        <v>0</v>
      </c>
      <c r="L100" s="4">
        <f t="shared" ca="1" si="4"/>
        <v>32</v>
      </c>
      <c r="M100" t="str">
        <f t="shared" si="5"/>
        <v>Aug-2023</v>
      </c>
      <c r="N100" t="s">
        <v>25</v>
      </c>
    </row>
    <row r="101" spans="1:14" x14ac:dyDescent="0.25">
      <c r="A101" t="s">
        <v>129</v>
      </c>
      <c r="B101" s="1">
        <v>45682</v>
      </c>
      <c r="D101">
        <v>56</v>
      </c>
      <c r="E101" t="s">
        <v>21</v>
      </c>
      <c r="F101" t="s">
        <v>32</v>
      </c>
      <c r="G101" t="s">
        <v>30</v>
      </c>
      <c r="H101">
        <v>6741</v>
      </c>
      <c r="I101">
        <v>9</v>
      </c>
      <c r="J101">
        <v>80</v>
      </c>
      <c r="K101">
        <f t="shared" si="3"/>
        <v>0</v>
      </c>
      <c r="L101" s="4">
        <f t="shared" ca="1" si="4"/>
        <v>14</v>
      </c>
      <c r="M101" t="str">
        <f t="shared" si="5"/>
        <v>Jan-2025</v>
      </c>
      <c r="N101" t="s">
        <v>19</v>
      </c>
    </row>
    <row r="102" spans="1:14" x14ac:dyDescent="0.25">
      <c r="A102" t="s">
        <v>130</v>
      </c>
      <c r="B102" s="1">
        <v>45144</v>
      </c>
      <c r="D102">
        <v>27</v>
      </c>
      <c r="E102" t="s">
        <v>21</v>
      </c>
      <c r="F102" t="s">
        <v>22</v>
      </c>
      <c r="G102" t="s">
        <v>30</v>
      </c>
      <c r="H102">
        <v>20223</v>
      </c>
      <c r="I102">
        <v>27</v>
      </c>
      <c r="J102">
        <v>91</v>
      </c>
      <c r="K102">
        <f t="shared" si="3"/>
        <v>0</v>
      </c>
      <c r="L102" s="4">
        <f t="shared" ca="1" si="4"/>
        <v>32</v>
      </c>
      <c r="M102" t="str">
        <f t="shared" si="5"/>
        <v>Aug-2023</v>
      </c>
      <c r="N102" t="s">
        <v>19</v>
      </c>
    </row>
    <row r="103" spans="1:14" x14ac:dyDescent="0.25">
      <c r="A103" t="s">
        <v>131</v>
      </c>
      <c r="B103" s="1">
        <v>45461</v>
      </c>
      <c r="D103">
        <v>60</v>
      </c>
      <c r="E103" t="s">
        <v>12</v>
      </c>
      <c r="F103" t="s">
        <v>47</v>
      </c>
      <c r="G103" t="s">
        <v>30</v>
      </c>
      <c r="H103">
        <v>11984</v>
      </c>
      <c r="I103">
        <v>16</v>
      </c>
      <c r="J103">
        <v>92</v>
      </c>
      <c r="K103">
        <f t="shared" si="3"/>
        <v>0</v>
      </c>
      <c r="L103" s="4">
        <f t="shared" ca="1" si="4"/>
        <v>22</v>
      </c>
      <c r="M103" t="str">
        <f t="shared" si="5"/>
        <v>Jun-2024</v>
      </c>
      <c r="N103" t="s">
        <v>19</v>
      </c>
    </row>
    <row r="104" spans="1:14" x14ac:dyDescent="0.25">
      <c r="A104" t="s">
        <v>132</v>
      </c>
      <c r="B104" s="1">
        <v>45840</v>
      </c>
      <c r="D104">
        <v>47</v>
      </c>
      <c r="E104" t="s">
        <v>12</v>
      </c>
      <c r="F104" t="s">
        <v>41</v>
      </c>
      <c r="G104" t="s">
        <v>30</v>
      </c>
      <c r="H104">
        <v>2996</v>
      </c>
      <c r="I104">
        <v>4</v>
      </c>
      <c r="J104">
        <v>60</v>
      </c>
      <c r="K104">
        <f t="shared" si="3"/>
        <v>0</v>
      </c>
      <c r="L104" s="4">
        <f t="shared" ca="1" si="4"/>
        <v>9</v>
      </c>
      <c r="M104" t="str">
        <f t="shared" si="5"/>
        <v>Jul-2025</v>
      </c>
      <c r="N104" t="s">
        <v>23</v>
      </c>
    </row>
    <row r="105" spans="1:14" x14ac:dyDescent="0.25">
      <c r="A105" t="s">
        <v>133</v>
      </c>
      <c r="B105" s="1">
        <v>45220</v>
      </c>
      <c r="D105">
        <v>18</v>
      </c>
      <c r="E105" t="s">
        <v>15</v>
      </c>
      <c r="F105" t="s">
        <v>57</v>
      </c>
      <c r="G105" t="s">
        <v>14</v>
      </c>
      <c r="H105">
        <v>16776</v>
      </c>
      <c r="I105">
        <v>24</v>
      </c>
      <c r="J105">
        <v>52</v>
      </c>
      <c r="K105">
        <f t="shared" si="3"/>
        <v>0</v>
      </c>
      <c r="L105" s="4">
        <f t="shared" ca="1" si="4"/>
        <v>30</v>
      </c>
      <c r="M105" t="str">
        <f t="shared" si="5"/>
        <v>Oct-2023</v>
      </c>
      <c r="N105" t="s">
        <v>19</v>
      </c>
    </row>
    <row r="106" spans="1:14" x14ac:dyDescent="0.25">
      <c r="A106" t="s">
        <v>134</v>
      </c>
      <c r="B106" s="1">
        <v>45178</v>
      </c>
      <c r="D106">
        <v>19</v>
      </c>
      <c r="E106" t="s">
        <v>21</v>
      </c>
      <c r="F106" t="s">
        <v>32</v>
      </c>
      <c r="G106" t="s">
        <v>30</v>
      </c>
      <c r="H106">
        <v>19474</v>
      </c>
      <c r="I106">
        <v>26</v>
      </c>
      <c r="J106">
        <v>56</v>
      </c>
      <c r="K106">
        <f t="shared" si="3"/>
        <v>0</v>
      </c>
      <c r="L106" s="4">
        <f t="shared" ca="1" si="4"/>
        <v>31</v>
      </c>
      <c r="M106" t="str">
        <f t="shared" si="5"/>
        <v>Sep-2023</v>
      </c>
      <c r="N106" t="s">
        <v>19</v>
      </c>
    </row>
    <row r="107" spans="1:14" x14ac:dyDescent="0.25">
      <c r="A107" t="s">
        <v>135</v>
      </c>
      <c r="B107" s="1">
        <v>45845</v>
      </c>
      <c r="D107">
        <v>46</v>
      </c>
      <c r="E107" t="s">
        <v>12</v>
      </c>
      <c r="F107" t="s">
        <v>29</v>
      </c>
      <c r="G107" t="s">
        <v>18</v>
      </c>
      <c r="H107">
        <v>2397</v>
      </c>
      <c r="I107">
        <v>3</v>
      </c>
      <c r="J107">
        <v>77</v>
      </c>
      <c r="K107">
        <f t="shared" si="3"/>
        <v>0</v>
      </c>
      <c r="L107" s="4">
        <f t="shared" ca="1" si="4"/>
        <v>9</v>
      </c>
      <c r="M107" t="str">
        <f t="shared" si="5"/>
        <v>Jul-2025</v>
      </c>
      <c r="N107" t="s">
        <v>23</v>
      </c>
    </row>
    <row r="108" spans="1:14" x14ac:dyDescent="0.25">
      <c r="A108" t="s">
        <v>136</v>
      </c>
      <c r="B108" s="1">
        <v>45085</v>
      </c>
      <c r="D108">
        <v>34</v>
      </c>
      <c r="E108" t="s">
        <v>12</v>
      </c>
      <c r="F108" t="s">
        <v>22</v>
      </c>
      <c r="G108" t="s">
        <v>14</v>
      </c>
      <c r="H108">
        <v>20271</v>
      </c>
      <c r="I108">
        <v>29</v>
      </c>
      <c r="J108">
        <v>77</v>
      </c>
      <c r="K108">
        <f t="shared" si="3"/>
        <v>0</v>
      </c>
      <c r="L108" s="4">
        <f t="shared" ca="1" si="4"/>
        <v>34</v>
      </c>
      <c r="M108" t="str">
        <f t="shared" si="5"/>
        <v>Jun-2023</v>
      </c>
      <c r="N108" t="s">
        <v>19</v>
      </c>
    </row>
    <row r="109" spans="1:14" x14ac:dyDescent="0.25">
      <c r="A109" t="s">
        <v>137</v>
      </c>
      <c r="B109" s="1">
        <v>45519</v>
      </c>
      <c r="D109">
        <v>22</v>
      </c>
      <c r="E109" t="s">
        <v>12</v>
      </c>
      <c r="F109" t="s">
        <v>13</v>
      </c>
      <c r="G109" t="s">
        <v>18</v>
      </c>
      <c r="H109">
        <v>11186</v>
      </c>
      <c r="I109">
        <v>14</v>
      </c>
      <c r="J109">
        <v>41</v>
      </c>
      <c r="K109">
        <f t="shared" si="3"/>
        <v>0</v>
      </c>
      <c r="L109" s="4">
        <f t="shared" ca="1" si="4"/>
        <v>20</v>
      </c>
      <c r="M109" t="str">
        <f t="shared" si="5"/>
        <v>Aug-2024</v>
      </c>
      <c r="N109" t="s">
        <v>25</v>
      </c>
    </row>
    <row r="110" spans="1:14" x14ac:dyDescent="0.25">
      <c r="A110" t="s">
        <v>138</v>
      </c>
      <c r="B110" s="1">
        <v>45562</v>
      </c>
      <c r="D110">
        <v>21</v>
      </c>
      <c r="E110" t="s">
        <v>12</v>
      </c>
      <c r="F110" t="s">
        <v>13</v>
      </c>
      <c r="G110" t="s">
        <v>30</v>
      </c>
      <c r="H110">
        <v>9737</v>
      </c>
      <c r="I110">
        <v>13</v>
      </c>
      <c r="J110">
        <v>73</v>
      </c>
      <c r="K110">
        <f t="shared" si="3"/>
        <v>0</v>
      </c>
      <c r="L110" s="4">
        <f t="shared" ca="1" si="4"/>
        <v>18</v>
      </c>
      <c r="M110" t="str">
        <f t="shared" si="5"/>
        <v>Sep-2024</v>
      </c>
      <c r="N110" t="s">
        <v>25</v>
      </c>
    </row>
    <row r="111" spans="1:14" x14ac:dyDescent="0.25">
      <c r="A111" t="s">
        <v>139</v>
      </c>
      <c r="B111" s="1">
        <v>45845</v>
      </c>
      <c r="D111">
        <v>18</v>
      </c>
      <c r="E111" t="s">
        <v>12</v>
      </c>
      <c r="F111" t="s">
        <v>22</v>
      </c>
      <c r="G111" t="s">
        <v>18</v>
      </c>
      <c r="H111">
        <v>2397</v>
      </c>
      <c r="I111">
        <v>3</v>
      </c>
      <c r="J111">
        <v>75</v>
      </c>
      <c r="K111">
        <f t="shared" si="3"/>
        <v>0</v>
      </c>
      <c r="L111" s="4">
        <f t="shared" ca="1" si="4"/>
        <v>9</v>
      </c>
      <c r="M111" t="str">
        <f t="shared" si="5"/>
        <v>Jul-2025</v>
      </c>
      <c r="N111" t="s">
        <v>19</v>
      </c>
    </row>
    <row r="112" spans="1:14" x14ac:dyDescent="0.25">
      <c r="A112" t="s">
        <v>140</v>
      </c>
      <c r="B112" s="1">
        <v>45448</v>
      </c>
      <c r="D112">
        <v>39</v>
      </c>
      <c r="E112" t="s">
        <v>21</v>
      </c>
      <c r="F112" t="s">
        <v>57</v>
      </c>
      <c r="G112" t="s">
        <v>18</v>
      </c>
      <c r="H112">
        <v>13583</v>
      </c>
      <c r="I112">
        <v>17</v>
      </c>
      <c r="J112">
        <v>25</v>
      </c>
      <c r="K112">
        <f t="shared" si="3"/>
        <v>0</v>
      </c>
      <c r="L112" s="4">
        <f t="shared" ca="1" si="4"/>
        <v>22</v>
      </c>
      <c r="M112" t="str">
        <f t="shared" si="5"/>
        <v>Jun-2024</v>
      </c>
      <c r="N112" t="s">
        <v>19</v>
      </c>
    </row>
    <row r="113" spans="1:14" x14ac:dyDescent="0.25">
      <c r="A113" t="s">
        <v>141</v>
      </c>
      <c r="B113" s="1">
        <v>45199</v>
      </c>
      <c r="D113">
        <v>21</v>
      </c>
      <c r="E113" t="s">
        <v>15</v>
      </c>
      <c r="F113" t="s">
        <v>47</v>
      </c>
      <c r="G113" t="s">
        <v>18</v>
      </c>
      <c r="H113">
        <v>19975</v>
      </c>
      <c r="I113">
        <v>25</v>
      </c>
      <c r="J113">
        <v>63</v>
      </c>
      <c r="K113">
        <f t="shared" si="3"/>
        <v>0</v>
      </c>
      <c r="L113" s="4">
        <f t="shared" ca="1" si="4"/>
        <v>30</v>
      </c>
      <c r="M113" t="str">
        <f t="shared" si="5"/>
        <v>Sep-2023</v>
      </c>
      <c r="N113" t="s">
        <v>23</v>
      </c>
    </row>
    <row r="114" spans="1:14" x14ac:dyDescent="0.25">
      <c r="A114" t="s">
        <v>142</v>
      </c>
      <c r="B114" s="1">
        <v>45307</v>
      </c>
      <c r="D114">
        <v>45</v>
      </c>
      <c r="E114" t="s">
        <v>21</v>
      </c>
      <c r="F114" t="s">
        <v>27</v>
      </c>
      <c r="G114" t="s">
        <v>30</v>
      </c>
      <c r="H114">
        <v>15729</v>
      </c>
      <c r="I114">
        <v>21</v>
      </c>
      <c r="J114">
        <v>90</v>
      </c>
      <c r="K114">
        <f t="shared" si="3"/>
        <v>0</v>
      </c>
      <c r="L114" s="4">
        <f t="shared" ca="1" si="4"/>
        <v>27</v>
      </c>
      <c r="M114" t="str">
        <f t="shared" si="5"/>
        <v>Jan-2024</v>
      </c>
      <c r="N114" t="s">
        <v>15</v>
      </c>
    </row>
    <row r="115" spans="1:14" x14ac:dyDescent="0.25">
      <c r="A115" t="s">
        <v>143</v>
      </c>
      <c r="B115" s="1">
        <v>45541</v>
      </c>
      <c r="D115">
        <v>55</v>
      </c>
      <c r="E115" t="s">
        <v>21</v>
      </c>
      <c r="F115" t="s">
        <v>27</v>
      </c>
      <c r="G115" t="s">
        <v>30</v>
      </c>
      <c r="H115">
        <v>10486</v>
      </c>
      <c r="I115">
        <v>14</v>
      </c>
      <c r="J115">
        <v>42</v>
      </c>
      <c r="K115">
        <f t="shared" si="3"/>
        <v>0</v>
      </c>
      <c r="L115" s="4">
        <f t="shared" ca="1" si="4"/>
        <v>19</v>
      </c>
      <c r="M115" t="str">
        <f t="shared" si="5"/>
        <v>Sep-2024</v>
      </c>
      <c r="N115" t="s">
        <v>15</v>
      </c>
    </row>
    <row r="116" spans="1:14" x14ac:dyDescent="0.25">
      <c r="A116" t="s">
        <v>144</v>
      </c>
      <c r="B116" s="1">
        <v>45159</v>
      </c>
      <c r="D116">
        <v>28</v>
      </c>
      <c r="E116" t="s">
        <v>12</v>
      </c>
      <c r="F116" t="s">
        <v>57</v>
      </c>
      <c r="G116" t="s">
        <v>14</v>
      </c>
      <c r="H116">
        <v>18174</v>
      </c>
      <c r="I116">
        <v>26</v>
      </c>
      <c r="J116">
        <v>100</v>
      </c>
      <c r="K116">
        <f t="shared" si="3"/>
        <v>0</v>
      </c>
      <c r="L116" s="4">
        <f t="shared" ca="1" si="4"/>
        <v>32</v>
      </c>
      <c r="M116" t="str">
        <f t="shared" si="5"/>
        <v>Aug-2023</v>
      </c>
      <c r="N116" t="s">
        <v>23</v>
      </c>
    </row>
    <row r="117" spans="1:14" x14ac:dyDescent="0.25">
      <c r="A117" t="s">
        <v>145</v>
      </c>
      <c r="B117" s="1">
        <v>45381</v>
      </c>
      <c r="D117">
        <v>57</v>
      </c>
      <c r="E117" t="s">
        <v>21</v>
      </c>
      <c r="F117" t="s">
        <v>17</v>
      </c>
      <c r="G117" t="s">
        <v>30</v>
      </c>
      <c r="H117">
        <v>14231</v>
      </c>
      <c r="I117">
        <v>19</v>
      </c>
      <c r="J117">
        <v>59</v>
      </c>
      <c r="K117">
        <f t="shared" si="3"/>
        <v>0</v>
      </c>
      <c r="L117" s="4">
        <f t="shared" ca="1" si="4"/>
        <v>24</v>
      </c>
      <c r="M117" t="str">
        <f t="shared" si="5"/>
        <v>Mar-2024</v>
      </c>
      <c r="N117" t="s">
        <v>23</v>
      </c>
    </row>
    <row r="118" spans="1:14" x14ac:dyDescent="0.25">
      <c r="A118" t="s">
        <v>146</v>
      </c>
      <c r="B118" s="1">
        <v>45423</v>
      </c>
      <c r="D118">
        <v>18</v>
      </c>
      <c r="E118" t="s">
        <v>21</v>
      </c>
      <c r="F118" t="s">
        <v>32</v>
      </c>
      <c r="G118" t="s">
        <v>30</v>
      </c>
      <c r="H118">
        <v>12733</v>
      </c>
      <c r="I118">
        <v>17</v>
      </c>
      <c r="J118">
        <v>40</v>
      </c>
      <c r="K118">
        <f t="shared" si="3"/>
        <v>0</v>
      </c>
      <c r="L118" s="4">
        <f t="shared" ca="1" si="4"/>
        <v>23</v>
      </c>
      <c r="M118" t="str">
        <f t="shared" si="5"/>
        <v>May-2024</v>
      </c>
      <c r="N118" t="s">
        <v>19</v>
      </c>
    </row>
    <row r="119" spans="1:14" x14ac:dyDescent="0.25">
      <c r="A119" t="s">
        <v>147</v>
      </c>
      <c r="B119" s="1">
        <v>45015</v>
      </c>
      <c r="D119">
        <v>56</v>
      </c>
      <c r="E119" t="s">
        <v>21</v>
      </c>
      <c r="F119" t="s">
        <v>27</v>
      </c>
      <c r="G119" t="s">
        <v>18</v>
      </c>
      <c r="H119">
        <v>24769</v>
      </c>
      <c r="I119">
        <v>31</v>
      </c>
      <c r="J119">
        <v>29</v>
      </c>
      <c r="K119">
        <f t="shared" si="3"/>
        <v>0</v>
      </c>
      <c r="L119" s="4">
        <f t="shared" ca="1" si="4"/>
        <v>37</v>
      </c>
      <c r="M119" t="str">
        <f t="shared" si="5"/>
        <v>Mar-2023</v>
      </c>
      <c r="N119" t="s">
        <v>15</v>
      </c>
    </row>
    <row r="120" spans="1:14" x14ac:dyDescent="0.25">
      <c r="A120" t="s">
        <v>148</v>
      </c>
      <c r="B120" s="1">
        <v>45888</v>
      </c>
      <c r="D120">
        <v>37</v>
      </c>
      <c r="E120" t="s">
        <v>21</v>
      </c>
      <c r="F120" t="s">
        <v>13</v>
      </c>
      <c r="G120" t="s">
        <v>18</v>
      </c>
      <c r="H120">
        <v>1598</v>
      </c>
      <c r="I120">
        <v>2</v>
      </c>
      <c r="J120">
        <v>71</v>
      </c>
      <c r="K120">
        <f t="shared" si="3"/>
        <v>0</v>
      </c>
      <c r="L120" s="4">
        <f t="shared" ca="1" si="4"/>
        <v>7</v>
      </c>
      <c r="M120" t="str">
        <f t="shared" si="5"/>
        <v>Aug-2025</v>
      </c>
      <c r="N120" t="s">
        <v>19</v>
      </c>
    </row>
    <row r="121" spans="1:14" x14ac:dyDescent="0.25">
      <c r="A121" t="s">
        <v>149</v>
      </c>
      <c r="B121" s="1">
        <v>45531</v>
      </c>
      <c r="D121">
        <v>18</v>
      </c>
      <c r="E121" t="s">
        <v>21</v>
      </c>
      <c r="F121" t="s">
        <v>41</v>
      </c>
      <c r="G121" t="s">
        <v>14</v>
      </c>
      <c r="H121">
        <v>9786</v>
      </c>
      <c r="I121">
        <v>14</v>
      </c>
      <c r="J121">
        <v>69</v>
      </c>
      <c r="K121">
        <f t="shared" si="3"/>
        <v>0</v>
      </c>
      <c r="L121" s="4">
        <f t="shared" ca="1" si="4"/>
        <v>19</v>
      </c>
      <c r="M121" t="str">
        <f t="shared" si="5"/>
        <v>Aug-2024</v>
      </c>
      <c r="N121" t="s">
        <v>15</v>
      </c>
    </row>
    <row r="122" spans="1:14" x14ac:dyDescent="0.25">
      <c r="A122" t="s">
        <v>150</v>
      </c>
      <c r="B122" s="1">
        <v>45584</v>
      </c>
      <c r="C122" s="1">
        <v>45824</v>
      </c>
      <c r="D122">
        <v>52</v>
      </c>
      <c r="E122" t="s">
        <v>12</v>
      </c>
      <c r="F122" t="s">
        <v>47</v>
      </c>
      <c r="G122" t="s">
        <v>14</v>
      </c>
      <c r="H122">
        <v>5592</v>
      </c>
      <c r="I122">
        <v>8</v>
      </c>
      <c r="J122">
        <v>49</v>
      </c>
      <c r="K122">
        <f t="shared" si="3"/>
        <v>1</v>
      </c>
      <c r="L122" s="4">
        <f t="shared" ca="1" si="4"/>
        <v>8</v>
      </c>
      <c r="M122" t="str">
        <f t="shared" si="5"/>
        <v>Oct-2024</v>
      </c>
      <c r="N122" t="s">
        <v>25</v>
      </c>
    </row>
    <row r="123" spans="1:14" x14ac:dyDescent="0.25">
      <c r="A123" t="s">
        <v>151</v>
      </c>
      <c r="B123" s="1">
        <v>45690</v>
      </c>
      <c r="C123" s="1">
        <v>45900</v>
      </c>
      <c r="D123">
        <v>60</v>
      </c>
      <c r="E123" t="s">
        <v>15</v>
      </c>
      <c r="F123" t="s">
        <v>57</v>
      </c>
      <c r="G123" t="s">
        <v>18</v>
      </c>
      <c r="H123">
        <v>5593</v>
      </c>
      <c r="I123">
        <v>7</v>
      </c>
      <c r="J123">
        <v>63</v>
      </c>
      <c r="K123">
        <f t="shared" si="3"/>
        <v>1</v>
      </c>
      <c r="L123" s="4">
        <f t="shared" ca="1" si="4"/>
        <v>7</v>
      </c>
      <c r="M123" t="str">
        <f t="shared" si="5"/>
        <v>Feb-2025</v>
      </c>
      <c r="N123" t="s">
        <v>19</v>
      </c>
    </row>
    <row r="124" spans="1:14" x14ac:dyDescent="0.25">
      <c r="A124" t="s">
        <v>152</v>
      </c>
      <c r="B124" s="1">
        <v>45328</v>
      </c>
      <c r="D124">
        <v>55</v>
      </c>
      <c r="E124" t="s">
        <v>21</v>
      </c>
      <c r="F124" t="s">
        <v>17</v>
      </c>
      <c r="G124" t="s">
        <v>18</v>
      </c>
      <c r="H124">
        <v>16779</v>
      </c>
      <c r="I124">
        <v>21</v>
      </c>
      <c r="J124">
        <v>40</v>
      </c>
      <c r="K124">
        <f t="shared" si="3"/>
        <v>0</v>
      </c>
      <c r="L124" s="4">
        <f t="shared" ca="1" si="4"/>
        <v>26</v>
      </c>
      <c r="M124" t="str">
        <f t="shared" si="5"/>
        <v>Feb-2024</v>
      </c>
      <c r="N124" t="s">
        <v>23</v>
      </c>
    </row>
    <row r="125" spans="1:14" x14ac:dyDescent="0.25">
      <c r="A125" t="s">
        <v>153</v>
      </c>
      <c r="B125" s="1">
        <v>45918</v>
      </c>
      <c r="D125">
        <v>38</v>
      </c>
      <c r="E125" t="s">
        <v>21</v>
      </c>
      <c r="F125" t="s">
        <v>13</v>
      </c>
      <c r="G125" t="s">
        <v>18</v>
      </c>
      <c r="H125">
        <v>799</v>
      </c>
      <c r="I125">
        <v>1</v>
      </c>
      <c r="J125">
        <v>84</v>
      </c>
      <c r="K125">
        <f t="shared" si="3"/>
        <v>0</v>
      </c>
      <c r="L125" s="4">
        <f t="shared" ca="1" si="4"/>
        <v>6</v>
      </c>
      <c r="M125" t="str">
        <f t="shared" si="5"/>
        <v>Sep-2025</v>
      </c>
      <c r="N125" t="s">
        <v>25</v>
      </c>
    </row>
    <row r="126" spans="1:14" x14ac:dyDescent="0.25">
      <c r="A126" t="s">
        <v>154</v>
      </c>
      <c r="B126" s="1">
        <v>45472</v>
      </c>
      <c r="D126">
        <v>20</v>
      </c>
      <c r="E126" t="s">
        <v>12</v>
      </c>
      <c r="F126" t="s">
        <v>27</v>
      </c>
      <c r="G126" t="s">
        <v>14</v>
      </c>
      <c r="H126">
        <v>11184</v>
      </c>
      <c r="I126">
        <v>16</v>
      </c>
      <c r="J126">
        <v>91</v>
      </c>
      <c r="K126">
        <f t="shared" si="3"/>
        <v>0</v>
      </c>
      <c r="L126" s="4">
        <f t="shared" ca="1" si="4"/>
        <v>21</v>
      </c>
      <c r="M126" t="str">
        <f t="shared" si="5"/>
        <v>Jun-2024</v>
      </c>
      <c r="N126" t="s">
        <v>19</v>
      </c>
    </row>
    <row r="127" spans="1:14" x14ac:dyDescent="0.25">
      <c r="A127" t="s">
        <v>155</v>
      </c>
      <c r="B127" s="1">
        <v>45814</v>
      </c>
      <c r="D127">
        <v>37</v>
      </c>
      <c r="E127" t="s">
        <v>21</v>
      </c>
      <c r="F127" t="s">
        <v>22</v>
      </c>
      <c r="G127" t="s">
        <v>18</v>
      </c>
      <c r="H127">
        <v>3196</v>
      </c>
      <c r="I127">
        <v>4</v>
      </c>
      <c r="J127">
        <v>82</v>
      </c>
      <c r="K127">
        <f t="shared" si="3"/>
        <v>0</v>
      </c>
      <c r="L127" s="4">
        <f t="shared" ca="1" si="4"/>
        <v>10</v>
      </c>
      <c r="M127" t="str">
        <f t="shared" si="5"/>
        <v>Jun-2025</v>
      </c>
      <c r="N127" t="s">
        <v>19</v>
      </c>
    </row>
    <row r="128" spans="1:14" x14ac:dyDescent="0.25">
      <c r="A128" t="s">
        <v>156</v>
      </c>
      <c r="B128" s="1">
        <v>45281</v>
      </c>
      <c r="D128">
        <v>59</v>
      </c>
      <c r="E128" t="s">
        <v>12</v>
      </c>
      <c r="F128" t="s">
        <v>38</v>
      </c>
      <c r="G128" t="s">
        <v>18</v>
      </c>
      <c r="H128">
        <v>17578</v>
      </c>
      <c r="I128">
        <v>22</v>
      </c>
      <c r="J128">
        <v>52</v>
      </c>
      <c r="K128">
        <f t="shared" si="3"/>
        <v>0</v>
      </c>
      <c r="L128" s="4">
        <f t="shared" ca="1" si="4"/>
        <v>28</v>
      </c>
      <c r="M128" t="str">
        <f t="shared" si="5"/>
        <v>Dec-2023</v>
      </c>
      <c r="N128" t="s">
        <v>23</v>
      </c>
    </row>
    <row r="129" spans="1:14" x14ac:dyDescent="0.25">
      <c r="A129" t="s">
        <v>157</v>
      </c>
      <c r="B129" s="1">
        <v>45753</v>
      </c>
      <c r="D129">
        <v>43</v>
      </c>
      <c r="E129" t="s">
        <v>21</v>
      </c>
      <c r="F129" t="s">
        <v>41</v>
      </c>
      <c r="G129" t="s">
        <v>30</v>
      </c>
      <c r="H129">
        <v>4494</v>
      </c>
      <c r="I129">
        <v>6</v>
      </c>
      <c r="J129">
        <v>80</v>
      </c>
      <c r="K129">
        <f t="shared" si="3"/>
        <v>0</v>
      </c>
      <c r="L129" s="4">
        <f t="shared" ca="1" si="4"/>
        <v>12</v>
      </c>
      <c r="M129" t="str">
        <f t="shared" si="5"/>
        <v>Apr-2025</v>
      </c>
      <c r="N129" t="s">
        <v>23</v>
      </c>
    </row>
    <row r="130" spans="1:14" x14ac:dyDescent="0.25">
      <c r="A130" t="s">
        <v>158</v>
      </c>
      <c r="B130" s="1">
        <v>45731</v>
      </c>
      <c r="D130">
        <v>18</v>
      </c>
      <c r="E130" t="s">
        <v>12</v>
      </c>
      <c r="F130" t="s">
        <v>41</v>
      </c>
      <c r="G130" t="s">
        <v>30</v>
      </c>
      <c r="H130">
        <v>5243</v>
      </c>
      <c r="I130">
        <v>7</v>
      </c>
      <c r="J130">
        <v>69</v>
      </c>
      <c r="K130">
        <f t="shared" si="3"/>
        <v>0</v>
      </c>
      <c r="L130" s="4">
        <f t="shared" ca="1" si="4"/>
        <v>13</v>
      </c>
      <c r="M130" t="str">
        <f t="shared" si="5"/>
        <v>Mar-2025</v>
      </c>
      <c r="N130" t="s">
        <v>19</v>
      </c>
    </row>
    <row r="131" spans="1:14" x14ac:dyDescent="0.25">
      <c r="A131" t="s">
        <v>159</v>
      </c>
      <c r="B131" s="1">
        <v>45435</v>
      </c>
      <c r="D131">
        <v>45</v>
      </c>
      <c r="E131" t="s">
        <v>12</v>
      </c>
      <c r="F131" t="s">
        <v>41</v>
      </c>
      <c r="G131" t="s">
        <v>18</v>
      </c>
      <c r="H131">
        <v>13583</v>
      </c>
      <c r="I131">
        <v>17</v>
      </c>
      <c r="J131">
        <v>68</v>
      </c>
      <c r="K131">
        <f t="shared" ref="K131:K194" si="6">IF(ISBLANK(C131), 0, 1)</f>
        <v>0</v>
      </c>
      <c r="L131" s="4">
        <f t="shared" ref="L131:L194" ca="1" si="7">ROUNDUP(DATEDIF(B131, IF(ISBLANK(C131), TODAY(), C131), "d")/30, 0)</f>
        <v>23</v>
      </c>
      <c r="M131" t="str">
        <f t="shared" ref="M131:M194" si="8">TEXT(B131, "mmm-yyyy")</f>
        <v>May-2024</v>
      </c>
      <c r="N131" t="s">
        <v>19</v>
      </c>
    </row>
    <row r="132" spans="1:14" x14ac:dyDescent="0.25">
      <c r="A132" t="s">
        <v>160</v>
      </c>
      <c r="B132" s="1">
        <v>45416</v>
      </c>
      <c r="D132">
        <v>33</v>
      </c>
      <c r="E132" t="s">
        <v>21</v>
      </c>
      <c r="F132" t="s">
        <v>57</v>
      </c>
      <c r="G132" t="s">
        <v>30</v>
      </c>
      <c r="H132">
        <v>13482</v>
      </c>
      <c r="I132">
        <v>18</v>
      </c>
      <c r="J132">
        <v>63</v>
      </c>
      <c r="K132">
        <f t="shared" si="6"/>
        <v>0</v>
      </c>
      <c r="L132" s="4">
        <f t="shared" ca="1" si="7"/>
        <v>23</v>
      </c>
      <c r="M132" t="str">
        <f t="shared" si="8"/>
        <v>May-2024</v>
      </c>
      <c r="N132" t="s">
        <v>25</v>
      </c>
    </row>
    <row r="133" spans="1:14" x14ac:dyDescent="0.25">
      <c r="A133" t="s">
        <v>161</v>
      </c>
      <c r="B133" s="1">
        <v>45639</v>
      </c>
      <c r="D133">
        <v>25</v>
      </c>
      <c r="E133" t="s">
        <v>12</v>
      </c>
      <c r="F133" t="s">
        <v>17</v>
      </c>
      <c r="G133" t="s">
        <v>14</v>
      </c>
      <c r="H133">
        <v>6990</v>
      </c>
      <c r="I133">
        <v>10</v>
      </c>
      <c r="J133">
        <v>59</v>
      </c>
      <c r="K133">
        <f t="shared" si="6"/>
        <v>0</v>
      </c>
      <c r="L133" s="4">
        <f t="shared" ca="1" si="7"/>
        <v>16</v>
      </c>
      <c r="M133" t="str">
        <f t="shared" si="8"/>
        <v>Dec-2024</v>
      </c>
      <c r="N133" t="s">
        <v>19</v>
      </c>
    </row>
    <row r="134" spans="1:14" x14ac:dyDescent="0.25">
      <c r="A134" t="s">
        <v>162</v>
      </c>
      <c r="B134" s="1">
        <v>45752</v>
      </c>
      <c r="D134">
        <v>45</v>
      </c>
      <c r="E134" t="s">
        <v>21</v>
      </c>
      <c r="F134" t="s">
        <v>32</v>
      </c>
      <c r="G134" t="s">
        <v>30</v>
      </c>
      <c r="H134">
        <v>5243</v>
      </c>
      <c r="I134">
        <v>7</v>
      </c>
      <c r="J134">
        <v>30</v>
      </c>
      <c r="K134">
        <f t="shared" si="6"/>
        <v>0</v>
      </c>
      <c r="L134" s="4">
        <f t="shared" ca="1" si="7"/>
        <v>12</v>
      </c>
      <c r="M134" t="str">
        <f t="shared" si="8"/>
        <v>Apr-2025</v>
      </c>
      <c r="N134" t="s">
        <v>19</v>
      </c>
    </row>
    <row r="135" spans="1:14" x14ac:dyDescent="0.25">
      <c r="A135" t="s">
        <v>163</v>
      </c>
      <c r="B135" s="1">
        <v>45214</v>
      </c>
      <c r="D135">
        <v>45</v>
      </c>
      <c r="E135" t="s">
        <v>12</v>
      </c>
      <c r="F135" t="s">
        <v>41</v>
      </c>
      <c r="G135" t="s">
        <v>14</v>
      </c>
      <c r="H135">
        <v>16776</v>
      </c>
      <c r="I135">
        <v>24</v>
      </c>
      <c r="J135">
        <v>24</v>
      </c>
      <c r="K135">
        <f t="shared" si="6"/>
        <v>0</v>
      </c>
      <c r="L135" s="4">
        <f t="shared" ca="1" si="7"/>
        <v>30</v>
      </c>
      <c r="M135" t="str">
        <f t="shared" si="8"/>
        <v>Oct-2023</v>
      </c>
      <c r="N135" t="s">
        <v>19</v>
      </c>
    </row>
    <row r="136" spans="1:14" x14ac:dyDescent="0.25">
      <c r="A136" t="s">
        <v>164</v>
      </c>
      <c r="B136" s="1">
        <v>45273</v>
      </c>
      <c r="D136">
        <v>54</v>
      </c>
      <c r="E136" t="s">
        <v>21</v>
      </c>
      <c r="F136" t="s">
        <v>13</v>
      </c>
      <c r="G136" t="s">
        <v>18</v>
      </c>
      <c r="H136">
        <v>17578</v>
      </c>
      <c r="I136">
        <v>22</v>
      </c>
      <c r="J136">
        <v>56</v>
      </c>
      <c r="K136">
        <f t="shared" si="6"/>
        <v>0</v>
      </c>
      <c r="L136" s="4">
        <f t="shared" ca="1" si="7"/>
        <v>28</v>
      </c>
      <c r="M136" t="str">
        <f t="shared" si="8"/>
        <v>Dec-2023</v>
      </c>
      <c r="N136" t="s">
        <v>19</v>
      </c>
    </row>
    <row r="137" spans="1:14" x14ac:dyDescent="0.25">
      <c r="A137" t="s">
        <v>165</v>
      </c>
      <c r="B137" s="1">
        <v>45132</v>
      </c>
      <c r="D137">
        <v>29</v>
      </c>
      <c r="E137" t="s">
        <v>21</v>
      </c>
      <c r="F137" t="s">
        <v>47</v>
      </c>
      <c r="G137" t="s">
        <v>30</v>
      </c>
      <c r="H137">
        <v>20223</v>
      </c>
      <c r="I137">
        <v>27</v>
      </c>
      <c r="J137">
        <v>76</v>
      </c>
      <c r="K137">
        <f t="shared" si="6"/>
        <v>0</v>
      </c>
      <c r="L137" s="4">
        <f t="shared" ca="1" si="7"/>
        <v>33</v>
      </c>
      <c r="M137" t="str">
        <f t="shared" si="8"/>
        <v>Jul-2023</v>
      </c>
      <c r="N137" t="s">
        <v>19</v>
      </c>
    </row>
    <row r="138" spans="1:14" x14ac:dyDescent="0.25">
      <c r="A138" t="s">
        <v>166</v>
      </c>
      <c r="B138" s="1">
        <v>45805</v>
      </c>
      <c r="C138" s="1">
        <v>45865</v>
      </c>
      <c r="D138">
        <v>26</v>
      </c>
      <c r="E138" t="s">
        <v>21</v>
      </c>
      <c r="F138" t="s">
        <v>32</v>
      </c>
      <c r="G138" t="s">
        <v>18</v>
      </c>
      <c r="H138">
        <v>1598</v>
      </c>
      <c r="I138">
        <v>2</v>
      </c>
      <c r="J138">
        <v>42</v>
      </c>
      <c r="K138">
        <f t="shared" si="6"/>
        <v>1</v>
      </c>
      <c r="L138" s="4">
        <f t="shared" ca="1" si="7"/>
        <v>2</v>
      </c>
      <c r="M138" t="str">
        <f t="shared" si="8"/>
        <v>May-2025</v>
      </c>
      <c r="N138" t="s">
        <v>23</v>
      </c>
    </row>
    <row r="139" spans="1:14" x14ac:dyDescent="0.25">
      <c r="A139" t="s">
        <v>167</v>
      </c>
      <c r="B139" s="1">
        <v>44887</v>
      </c>
      <c r="D139">
        <v>25</v>
      </c>
      <c r="E139" t="s">
        <v>12</v>
      </c>
      <c r="F139" t="s">
        <v>32</v>
      </c>
      <c r="G139" t="s">
        <v>14</v>
      </c>
      <c r="H139">
        <v>24465</v>
      </c>
      <c r="I139">
        <v>35</v>
      </c>
      <c r="J139">
        <v>56</v>
      </c>
      <c r="K139">
        <f t="shared" si="6"/>
        <v>0</v>
      </c>
      <c r="L139" s="4">
        <f t="shared" ca="1" si="7"/>
        <v>41</v>
      </c>
      <c r="M139" t="str">
        <f t="shared" si="8"/>
        <v>Nov-2022</v>
      </c>
      <c r="N139" t="s">
        <v>23</v>
      </c>
    </row>
    <row r="140" spans="1:14" x14ac:dyDescent="0.25">
      <c r="A140" t="s">
        <v>168</v>
      </c>
      <c r="B140" s="1">
        <v>45017</v>
      </c>
      <c r="D140">
        <v>29</v>
      </c>
      <c r="E140" t="s">
        <v>21</v>
      </c>
      <c r="F140" t="s">
        <v>29</v>
      </c>
      <c r="G140" t="s">
        <v>18</v>
      </c>
      <c r="H140">
        <v>24769</v>
      </c>
      <c r="I140">
        <v>31</v>
      </c>
      <c r="J140">
        <v>56</v>
      </c>
      <c r="K140">
        <f t="shared" si="6"/>
        <v>0</v>
      </c>
      <c r="L140" s="4">
        <f t="shared" ca="1" si="7"/>
        <v>36</v>
      </c>
      <c r="M140" t="str">
        <f t="shared" si="8"/>
        <v>Apr-2023</v>
      </c>
      <c r="N140" t="s">
        <v>23</v>
      </c>
    </row>
    <row r="141" spans="1:14" x14ac:dyDescent="0.25">
      <c r="A141" t="s">
        <v>169</v>
      </c>
      <c r="B141" s="1">
        <v>45786</v>
      </c>
      <c r="D141">
        <v>52</v>
      </c>
      <c r="E141" t="s">
        <v>12</v>
      </c>
      <c r="F141" t="s">
        <v>47</v>
      </c>
      <c r="G141" t="s">
        <v>30</v>
      </c>
      <c r="H141">
        <v>3745</v>
      </c>
      <c r="I141">
        <v>5</v>
      </c>
      <c r="J141">
        <v>69</v>
      </c>
      <c r="K141">
        <f t="shared" si="6"/>
        <v>0</v>
      </c>
      <c r="L141" s="4">
        <f t="shared" ca="1" si="7"/>
        <v>11</v>
      </c>
      <c r="M141" t="str">
        <f t="shared" si="8"/>
        <v>May-2025</v>
      </c>
      <c r="N141" t="s">
        <v>19</v>
      </c>
    </row>
    <row r="142" spans="1:14" x14ac:dyDescent="0.25">
      <c r="A142" t="s">
        <v>170</v>
      </c>
      <c r="B142" s="1">
        <v>45280</v>
      </c>
      <c r="D142">
        <v>43</v>
      </c>
      <c r="E142" t="s">
        <v>21</v>
      </c>
      <c r="F142" t="s">
        <v>27</v>
      </c>
      <c r="G142" t="s">
        <v>18</v>
      </c>
      <c r="H142">
        <v>17578</v>
      </c>
      <c r="I142">
        <v>22</v>
      </c>
      <c r="J142">
        <v>50</v>
      </c>
      <c r="K142">
        <f t="shared" si="6"/>
        <v>0</v>
      </c>
      <c r="L142" s="4">
        <f t="shared" ca="1" si="7"/>
        <v>28</v>
      </c>
      <c r="M142" t="str">
        <f t="shared" si="8"/>
        <v>Dec-2023</v>
      </c>
      <c r="N142" t="s">
        <v>19</v>
      </c>
    </row>
    <row r="143" spans="1:14" x14ac:dyDescent="0.25">
      <c r="A143" t="s">
        <v>171</v>
      </c>
      <c r="B143" s="1">
        <v>45817</v>
      </c>
      <c r="D143">
        <v>25</v>
      </c>
      <c r="E143" t="s">
        <v>21</v>
      </c>
      <c r="F143" t="s">
        <v>29</v>
      </c>
      <c r="G143" t="s">
        <v>30</v>
      </c>
      <c r="H143">
        <v>2996</v>
      </c>
      <c r="I143">
        <v>4</v>
      </c>
      <c r="J143">
        <v>39</v>
      </c>
      <c r="K143">
        <f t="shared" si="6"/>
        <v>0</v>
      </c>
      <c r="L143" s="4">
        <f t="shared" ca="1" si="7"/>
        <v>10</v>
      </c>
      <c r="M143" t="str">
        <f t="shared" si="8"/>
        <v>Jun-2025</v>
      </c>
      <c r="N143" t="s">
        <v>23</v>
      </c>
    </row>
    <row r="144" spans="1:14" x14ac:dyDescent="0.25">
      <c r="A144" t="s">
        <v>172</v>
      </c>
      <c r="B144" s="1">
        <v>45566</v>
      </c>
      <c r="D144">
        <v>45</v>
      </c>
      <c r="E144" t="s">
        <v>21</v>
      </c>
      <c r="F144" t="s">
        <v>13</v>
      </c>
      <c r="G144" t="s">
        <v>30</v>
      </c>
      <c r="H144">
        <v>9737</v>
      </c>
      <c r="I144">
        <v>13</v>
      </c>
      <c r="J144">
        <v>48</v>
      </c>
      <c r="K144">
        <f t="shared" si="6"/>
        <v>0</v>
      </c>
      <c r="L144" s="4">
        <f t="shared" ca="1" si="7"/>
        <v>18</v>
      </c>
      <c r="M144" t="str">
        <f t="shared" si="8"/>
        <v>Oct-2024</v>
      </c>
      <c r="N144" t="s">
        <v>23</v>
      </c>
    </row>
    <row r="145" spans="1:14" x14ac:dyDescent="0.25">
      <c r="A145" t="s">
        <v>173</v>
      </c>
      <c r="B145" s="1">
        <v>45562</v>
      </c>
      <c r="D145">
        <v>45</v>
      </c>
      <c r="E145" t="s">
        <v>21</v>
      </c>
      <c r="F145" t="s">
        <v>32</v>
      </c>
      <c r="G145" t="s">
        <v>18</v>
      </c>
      <c r="H145">
        <v>10387</v>
      </c>
      <c r="I145">
        <v>13</v>
      </c>
      <c r="J145">
        <v>21</v>
      </c>
      <c r="K145">
        <f t="shared" si="6"/>
        <v>0</v>
      </c>
      <c r="L145" s="4">
        <f t="shared" ca="1" si="7"/>
        <v>18</v>
      </c>
      <c r="M145" t="str">
        <f t="shared" si="8"/>
        <v>Sep-2024</v>
      </c>
      <c r="N145" t="s">
        <v>25</v>
      </c>
    </row>
    <row r="146" spans="1:14" x14ac:dyDescent="0.25">
      <c r="A146" t="s">
        <v>174</v>
      </c>
      <c r="B146" s="1">
        <v>45896</v>
      </c>
      <c r="D146">
        <v>20</v>
      </c>
      <c r="E146" t="s">
        <v>21</v>
      </c>
      <c r="F146" t="s">
        <v>47</v>
      </c>
      <c r="G146" t="s">
        <v>18</v>
      </c>
      <c r="H146">
        <v>1598</v>
      </c>
      <c r="I146">
        <v>2</v>
      </c>
      <c r="J146">
        <v>65</v>
      </c>
      <c r="K146">
        <f t="shared" si="6"/>
        <v>0</v>
      </c>
      <c r="L146" s="4">
        <f t="shared" ca="1" si="7"/>
        <v>7</v>
      </c>
      <c r="M146" t="str">
        <f t="shared" si="8"/>
        <v>Aug-2025</v>
      </c>
      <c r="N146" t="s">
        <v>25</v>
      </c>
    </row>
    <row r="147" spans="1:14" x14ac:dyDescent="0.25">
      <c r="A147" t="s">
        <v>175</v>
      </c>
      <c r="B147" s="1">
        <v>45680</v>
      </c>
      <c r="D147">
        <v>22</v>
      </c>
      <c r="E147" t="s">
        <v>15</v>
      </c>
      <c r="F147" t="s">
        <v>32</v>
      </c>
      <c r="G147" t="s">
        <v>18</v>
      </c>
      <c r="H147">
        <v>7191</v>
      </c>
      <c r="I147">
        <v>9</v>
      </c>
      <c r="J147">
        <v>64</v>
      </c>
      <c r="K147">
        <f t="shared" si="6"/>
        <v>0</v>
      </c>
      <c r="L147" s="4">
        <f t="shared" ca="1" si="7"/>
        <v>14</v>
      </c>
      <c r="M147" t="str">
        <f t="shared" si="8"/>
        <v>Jan-2025</v>
      </c>
      <c r="N147" t="s">
        <v>23</v>
      </c>
    </row>
    <row r="148" spans="1:14" x14ac:dyDescent="0.25">
      <c r="A148" t="s">
        <v>176</v>
      </c>
      <c r="B148" s="1">
        <v>45364</v>
      </c>
      <c r="D148">
        <v>38</v>
      </c>
      <c r="E148" t="s">
        <v>15</v>
      </c>
      <c r="F148" t="s">
        <v>47</v>
      </c>
      <c r="G148" t="s">
        <v>18</v>
      </c>
      <c r="H148">
        <v>15181</v>
      </c>
      <c r="I148">
        <v>19</v>
      </c>
      <c r="J148">
        <v>57</v>
      </c>
      <c r="K148">
        <f t="shared" si="6"/>
        <v>0</v>
      </c>
      <c r="L148" s="4">
        <f t="shared" ca="1" si="7"/>
        <v>25</v>
      </c>
      <c r="M148" t="str">
        <f t="shared" si="8"/>
        <v>Mar-2024</v>
      </c>
      <c r="N148" t="s">
        <v>19</v>
      </c>
    </row>
    <row r="149" spans="1:14" x14ac:dyDescent="0.25">
      <c r="A149" t="s">
        <v>177</v>
      </c>
      <c r="B149" s="1">
        <v>45439</v>
      </c>
      <c r="D149">
        <v>42</v>
      </c>
      <c r="E149" t="s">
        <v>21</v>
      </c>
      <c r="F149" t="s">
        <v>57</v>
      </c>
      <c r="G149" t="s">
        <v>18</v>
      </c>
      <c r="H149">
        <v>13583</v>
      </c>
      <c r="I149">
        <v>17</v>
      </c>
      <c r="J149">
        <v>58</v>
      </c>
      <c r="K149">
        <f t="shared" si="6"/>
        <v>0</v>
      </c>
      <c r="L149" s="4">
        <f t="shared" ca="1" si="7"/>
        <v>22</v>
      </c>
      <c r="M149" t="str">
        <f t="shared" si="8"/>
        <v>May-2024</v>
      </c>
      <c r="N149" t="s">
        <v>19</v>
      </c>
    </row>
    <row r="150" spans="1:14" x14ac:dyDescent="0.25">
      <c r="A150" t="s">
        <v>178</v>
      </c>
      <c r="B150" s="1">
        <v>45894</v>
      </c>
      <c r="C150" s="1">
        <v>45924</v>
      </c>
      <c r="D150">
        <v>45</v>
      </c>
      <c r="E150" t="s">
        <v>21</v>
      </c>
      <c r="F150" t="s">
        <v>29</v>
      </c>
      <c r="G150" t="s">
        <v>30</v>
      </c>
      <c r="H150">
        <v>749</v>
      </c>
      <c r="I150">
        <v>1</v>
      </c>
      <c r="J150">
        <v>70</v>
      </c>
      <c r="K150">
        <f t="shared" si="6"/>
        <v>1</v>
      </c>
      <c r="L150" s="4">
        <f t="shared" ca="1" si="7"/>
        <v>1</v>
      </c>
      <c r="M150" t="str">
        <f t="shared" si="8"/>
        <v>Aug-2025</v>
      </c>
      <c r="N150" t="s">
        <v>23</v>
      </c>
    </row>
    <row r="151" spans="1:14" x14ac:dyDescent="0.25">
      <c r="A151" t="s">
        <v>179</v>
      </c>
      <c r="B151" s="1">
        <v>45182</v>
      </c>
      <c r="D151">
        <v>27</v>
      </c>
      <c r="E151" t="s">
        <v>12</v>
      </c>
      <c r="F151" t="s">
        <v>22</v>
      </c>
      <c r="G151" t="s">
        <v>14</v>
      </c>
      <c r="H151">
        <v>18174</v>
      </c>
      <c r="I151">
        <v>26</v>
      </c>
      <c r="J151">
        <v>42</v>
      </c>
      <c r="K151">
        <f t="shared" si="6"/>
        <v>0</v>
      </c>
      <c r="L151" s="4">
        <f t="shared" ca="1" si="7"/>
        <v>31</v>
      </c>
      <c r="M151" t="str">
        <f t="shared" si="8"/>
        <v>Sep-2023</v>
      </c>
      <c r="N151" t="s">
        <v>19</v>
      </c>
    </row>
    <row r="152" spans="1:14" x14ac:dyDescent="0.25">
      <c r="A152" t="s">
        <v>180</v>
      </c>
      <c r="B152" s="1">
        <v>45140</v>
      </c>
      <c r="C152" s="1">
        <v>45620</v>
      </c>
      <c r="D152">
        <v>37</v>
      </c>
      <c r="E152" t="s">
        <v>12</v>
      </c>
      <c r="F152" t="s">
        <v>57</v>
      </c>
      <c r="G152" t="s">
        <v>18</v>
      </c>
      <c r="H152">
        <v>12784</v>
      </c>
      <c r="I152">
        <v>16</v>
      </c>
      <c r="J152">
        <v>42</v>
      </c>
      <c r="K152">
        <f t="shared" si="6"/>
        <v>1</v>
      </c>
      <c r="L152" s="4">
        <f t="shared" ca="1" si="7"/>
        <v>16</v>
      </c>
      <c r="M152" t="str">
        <f t="shared" si="8"/>
        <v>Aug-2023</v>
      </c>
      <c r="N152" t="s">
        <v>23</v>
      </c>
    </row>
    <row r="153" spans="1:14" x14ac:dyDescent="0.25">
      <c r="A153" t="s">
        <v>181</v>
      </c>
      <c r="B153" s="1">
        <v>45931</v>
      </c>
      <c r="D153">
        <v>54</v>
      </c>
      <c r="E153" t="s">
        <v>12</v>
      </c>
      <c r="F153" t="s">
        <v>32</v>
      </c>
      <c r="G153" t="s">
        <v>30</v>
      </c>
      <c r="H153">
        <v>749</v>
      </c>
      <c r="I153">
        <v>1</v>
      </c>
      <c r="J153">
        <v>33</v>
      </c>
      <c r="K153">
        <f t="shared" si="6"/>
        <v>0</v>
      </c>
      <c r="L153" s="4">
        <f t="shared" ca="1" si="7"/>
        <v>6</v>
      </c>
      <c r="M153" t="str">
        <f t="shared" si="8"/>
        <v>Oct-2025</v>
      </c>
      <c r="N153" t="s">
        <v>23</v>
      </c>
    </row>
    <row r="154" spans="1:14" x14ac:dyDescent="0.25">
      <c r="A154" t="s">
        <v>182</v>
      </c>
      <c r="B154" s="1">
        <v>45575</v>
      </c>
      <c r="C154" s="1">
        <v>45635</v>
      </c>
      <c r="D154">
        <v>32</v>
      </c>
      <c r="E154" t="s">
        <v>12</v>
      </c>
      <c r="F154" t="s">
        <v>41</v>
      </c>
      <c r="G154" t="s">
        <v>14</v>
      </c>
      <c r="H154">
        <v>1398</v>
      </c>
      <c r="I154">
        <v>2</v>
      </c>
      <c r="J154">
        <v>27</v>
      </c>
      <c r="K154">
        <f t="shared" si="6"/>
        <v>1</v>
      </c>
      <c r="L154" s="4">
        <f t="shared" ca="1" si="7"/>
        <v>2</v>
      </c>
      <c r="M154" t="str">
        <f t="shared" si="8"/>
        <v>Oct-2024</v>
      </c>
      <c r="N154" t="s">
        <v>19</v>
      </c>
    </row>
    <row r="155" spans="1:14" x14ac:dyDescent="0.25">
      <c r="A155" t="s">
        <v>183</v>
      </c>
      <c r="B155" s="1">
        <v>44881</v>
      </c>
      <c r="D155">
        <v>33</v>
      </c>
      <c r="E155" t="s">
        <v>21</v>
      </c>
      <c r="F155" t="s">
        <v>22</v>
      </c>
      <c r="G155" t="s">
        <v>30</v>
      </c>
      <c r="H155">
        <v>26964</v>
      </c>
      <c r="I155">
        <v>36</v>
      </c>
      <c r="J155">
        <v>54</v>
      </c>
      <c r="K155">
        <f t="shared" si="6"/>
        <v>0</v>
      </c>
      <c r="L155" s="4">
        <f t="shared" ca="1" si="7"/>
        <v>41</v>
      </c>
      <c r="M155" t="str">
        <f t="shared" si="8"/>
        <v>Nov-2022</v>
      </c>
      <c r="N155" t="s">
        <v>19</v>
      </c>
    </row>
    <row r="156" spans="1:14" x14ac:dyDescent="0.25">
      <c r="A156" t="s">
        <v>184</v>
      </c>
      <c r="B156" s="1">
        <v>45139</v>
      </c>
      <c r="D156">
        <v>29</v>
      </c>
      <c r="E156" t="s">
        <v>12</v>
      </c>
      <c r="F156" t="s">
        <v>47</v>
      </c>
      <c r="G156" t="s">
        <v>18</v>
      </c>
      <c r="H156">
        <v>21573</v>
      </c>
      <c r="I156">
        <v>27</v>
      </c>
      <c r="J156">
        <v>44</v>
      </c>
      <c r="K156">
        <f t="shared" si="6"/>
        <v>0</v>
      </c>
      <c r="L156" s="4">
        <f t="shared" ca="1" si="7"/>
        <v>32</v>
      </c>
      <c r="M156" t="str">
        <f t="shared" si="8"/>
        <v>Aug-2023</v>
      </c>
      <c r="N156" t="s">
        <v>19</v>
      </c>
    </row>
    <row r="157" spans="1:14" x14ac:dyDescent="0.25">
      <c r="A157" t="s">
        <v>185</v>
      </c>
      <c r="B157" s="1">
        <v>45550</v>
      </c>
      <c r="D157">
        <v>47</v>
      </c>
      <c r="E157" t="s">
        <v>21</v>
      </c>
      <c r="F157" t="s">
        <v>32</v>
      </c>
      <c r="G157" t="s">
        <v>14</v>
      </c>
      <c r="H157">
        <v>9087</v>
      </c>
      <c r="I157">
        <v>13</v>
      </c>
      <c r="J157">
        <v>89</v>
      </c>
      <c r="K157">
        <f t="shared" si="6"/>
        <v>0</v>
      </c>
      <c r="L157" s="4">
        <f t="shared" ca="1" si="7"/>
        <v>19</v>
      </c>
      <c r="M157" t="str">
        <f t="shared" si="8"/>
        <v>Sep-2024</v>
      </c>
      <c r="N157" t="s">
        <v>19</v>
      </c>
    </row>
    <row r="158" spans="1:14" x14ac:dyDescent="0.25">
      <c r="A158" t="s">
        <v>186</v>
      </c>
      <c r="B158" s="1">
        <v>45806</v>
      </c>
      <c r="C158" s="1">
        <v>45896</v>
      </c>
      <c r="D158">
        <v>48</v>
      </c>
      <c r="E158" t="s">
        <v>21</v>
      </c>
      <c r="F158" t="s">
        <v>29</v>
      </c>
      <c r="G158" t="s">
        <v>18</v>
      </c>
      <c r="H158">
        <v>2397</v>
      </c>
      <c r="I158">
        <v>3</v>
      </c>
      <c r="J158">
        <v>49</v>
      </c>
      <c r="K158">
        <f t="shared" si="6"/>
        <v>1</v>
      </c>
      <c r="L158" s="4">
        <f t="shared" ca="1" si="7"/>
        <v>3</v>
      </c>
      <c r="M158" t="str">
        <f t="shared" si="8"/>
        <v>May-2025</v>
      </c>
      <c r="N158" t="s">
        <v>23</v>
      </c>
    </row>
    <row r="159" spans="1:14" x14ac:dyDescent="0.25">
      <c r="A159" t="s">
        <v>187</v>
      </c>
      <c r="B159" s="1">
        <v>45704</v>
      </c>
      <c r="D159">
        <v>25</v>
      </c>
      <c r="E159" t="s">
        <v>21</v>
      </c>
      <c r="F159" t="s">
        <v>22</v>
      </c>
      <c r="G159" t="s">
        <v>18</v>
      </c>
      <c r="H159">
        <v>6392</v>
      </c>
      <c r="I159">
        <v>8</v>
      </c>
      <c r="J159">
        <v>64</v>
      </c>
      <c r="K159">
        <f t="shared" si="6"/>
        <v>0</v>
      </c>
      <c r="L159" s="4">
        <f t="shared" ca="1" si="7"/>
        <v>14</v>
      </c>
      <c r="M159" t="str">
        <f t="shared" si="8"/>
        <v>Feb-2025</v>
      </c>
      <c r="N159" t="s">
        <v>23</v>
      </c>
    </row>
    <row r="160" spans="1:14" x14ac:dyDescent="0.25">
      <c r="A160" t="s">
        <v>188</v>
      </c>
      <c r="B160" s="1">
        <v>45073</v>
      </c>
      <c r="D160">
        <v>47</v>
      </c>
      <c r="E160" t="s">
        <v>12</v>
      </c>
      <c r="F160" t="s">
        <v>32</v>
      </c>
      <c r="G160" t="s">
        <v>18</v>
      </c>
      <c r="H160">
        <v>23171</v>
      </c>
      <c r="I160">
        <v>29</v>
      </c>
      <c r="J160">
        <v>47</v>
      </c>
      <c r="K160">
        <f t="shared" si="6"/>
        <v>0</v>
      </c>
      <c r="L160" s="4">
        <f t="shared" ca="1" si="7"/>
        <v>35</v>
      </c>
      <c r="M160" t="str">
        <f t="shared" si="8"/>
        <v>May-2023</v>
      </c>
      <c r="N160" t="s">
        <v>19</v>
      </c>
    </row>
    <row r="161" spans="1:14" x14ac:dyDescent="0.25">
      <c r="A161" t="s">
        <v>189</v>
      </c>
      <c r="B161" s="1">
        <v>45016</v>
      </c>
      <c r="D161">
        <v>52</v>
      </c>
      <c r="E161" t="s">
        <v>12</v>
      </c>
      <c r="F161" t="s">
        <v>57</v>
      </c>
      <c r="G161" t="s">
        <v>18</v>
      </c>
      <c r="H161">
        <v>24769</v>
      </c>
      <c r="I161">
        <v>31</v>
      </c>
      <c r="J161">
        <v>43</v>
      </c>
      <c r="K161">
        <f t="shared" si="6"/>
        <v>0</v>
      </c>
      <c r="L161" s="4">
        <f t="shared" ca="1" si="7"/>
        <v>37</v>
      </c>
      <c r="M161" t="str">
        <f t="shared" si="8"/>
        <v>Mar-2023</v>
      </c>
      <c r="N161" t="s">
        <v>19</v>
      </c>
    </row>
    <row r="162" spans="1:14" x14ac:dyDescent="0.25">
      <c r="A162" t="s">
        <v>190</v>
      </c>
      <c r="B162" s="1">
        <v>45136</v>
      </c>
      <c r="D162">
        <v>18</v>
      </c>
      <c r="E162" t="s">
        <v>12</v>
      </c>
      <c r="F162" t="s">
        <v>17</v>
      </c>
      <c r="G162" t="s">
        <v>30</v>
      </c>
      <c r="H162">
        <v>20223</v>
      </c>
      <c r="I162">
        <v>27</v>
      </c>
      <c r="J162">
        <v>65</v>
      </c>
      <c r="K162">
        <f t="shared" si="6"/>
        <v>0</v>
      </c>
      <c r="L162" s="4">
        <f t="shared" ca="1" si="7"/>
        <v>33</v>
      </c>
      <c r="M162" t="str">
        <f t="shared" si="8"/>
        <v>Jul-2023</v>
      </c>
      <c r="N162" t="s">
        <v>19</v>
      </c>
    </row>
    <row r="163" spans="1:14" x14ac:dyDescent="0.25">
      <c r="A163" t="s">
        <v>191</v>
      </c>
      <c r="B163" s="1">
        <v>44928</v>
      </c>
      <c r="D163">
        <v>48</v>
      </c>
      <c r="E163" t="s">
        <v>12</v>
      </c>
      <c r="F163" t="s">
        <v>38</v>
      </c>
      <c r="G163" t="s">
        <v>18</v>
      </c>
      <c r="H163">
        <v>27166</v>
      </c>
      <c r="I163">
        <v>34</v>
      </c>
      <c r="J163">
        <v>85</v>
      </c>
      <c r="K163">
        <f t="shared" si="6"/>
        <v>0</v>
      </c>
      <c r="L163" s="4">
        <f t="shared" ca="1" si="7"/>
        <v>39</v>
      </c>
      <c r="M163" t="str">
        <f t="shared" si="8"/>
        <v>Jan-2023</v>
      </c>
      <c r="N163" t="s">
        <v>19</v>
      </c>
    </row>
    <row r="164" spans="1:14" x14ac:dyDescent="0.25">
      <c r="A164" t="s">
        <v>192</v>
      </c>
      <c r="B164" s="1">
        <v>45847</v>
      </c>
      <c r="C164" s="1">
        <v>45877</v>
      </c>
      <c r="D164">
        <v>37</v>
      </c>
      <c r="E164" t="s">
        <v>12</v>
      </c>
      <c r="F164" t="s">
        <v>22</v>
      </c>
      <c r="G164" t="s">
        <v>18</v>
      </c>
      <c r="H164">
        <v>799</v>
      </c>
      <c r="I164">
        <v>1</v>
      </c>
      <c r="J164">
        <v>100</v>
      </c>
      <c r="K164">
        <f t="shared" si="6"/>
        <v>1</v>
      </c>
      <c r="L164" s="4">
        <f t="shared" ca="1" si="7"/>
        <v>1</v>
      </c>
      <c r="M164" t="str">
        <f t="shared" si="8"/>
        <v>Jul-2025</v>
      </c>
      <c r="N164" t="s">
        <v>23</v>
      </c>
    </row>
    <row r="165" spans="1:14" x14ac:dyDescent="0.25">
      <c r="A165" t="s">
        <v>193</v>
      </c>
      <c r="B165" s="1">
        <v>45287</v>
      </c>
      <c r="D165">
        <v>35</v>
      </c>
      <c r="E165" t="s">
        <v>12</v>
      </c>
      <c r="F165" t="s">
        <v>13</v>
      </c>
      <c r="G165" t="s">
        <v>18</v>
      </c>
      <c r="H165">
        <v>17578</v>
      </c>
      <c r="I165">
        <v>22</v>
      </c>
      <c r="J165">
        <v>31</v>
      </c>
      <c r="K165">
        <f t="shared" si="6"/>
        <v>0</v>
      </c>
      <c r="L165" s="4">
        <f t="shared" ca="1" si="7"/>
        <v>27</v>
      </c>
      <c r="M165" t="str">
        <f t="shared" si="8"/>
        <v>Dec-2023</v>
      </c>
      <c r="N165" t="s">
        <v>19</v>
      </c>
    </row>
    <row r="166" spans="1:14" x14ac:dyDescent="0.25">
      <c r="A166" t="s">
        <v>194</v>
      </c>
      <c r="B166" s="1">
        <v>45579</v>
      </c>
      <c r="D166">
        <v>39</v>
      </c>
      <c r="E166" t="s">
        <v>12</v>
      </c>
      <c r="F166" t="s">
        <v>57</v>
      </c>
      <c r="G166" t="s">
        <v>30</v>
      </c>
      <c r="H166">
        <v>8988</v>
      </c>
      <c r="I166">
        <v>12</v>
      </c>
      <c r="J166">
        <v>59</v>
      </c>
      <c r="K166">
        <f t="shared" si="6"/>
        <v>0</v>
      </c>
      <c r="L166" s="4">
        <f t="shared" ca="1" si="7"/>
        <v>18</v>
      </c>
      <c r="M166" t="str">
        <f t="shared" si="8"/>
        <v>Oct-2024</v>
      </c>
      <c r="N166" t="s">
        <v>23</v>
      </c>
    </row>
    <row r="167" spans="1:14" x14ac:dyDescent="0.25">
      <c r="A167" t="s">
        <v>195</v>
      </c>
      <c r="B167" s="1">
        <v>45635</v>
      </c>
      <c r="D167">
        <v>20</v>
      </c>
      <c r="E167" t="s">
        <v>12</v>
      </c>
      <c r="F167" t="s">
        <v>22</v>
      </c>
      <c r="G167" t="s">
        <v>18</v>
      </c>
      <c r="H167">
        <v>7990</v>
      </c>
      <c r="I167">
        <v>10</v>
      </c>
      <c r="J167">
        <v>43</v>
      </c>
      <c r="K167">
        <f t="shared" si="6"/>
        <v>0</v>
      </c>
      <c r="L167" s="4">
        <f t="shared" ca="1" si="7"/>
        <v>16</v>
      </c>
      <c r="M167" t="str">
        <f t="shared" si="8"/>
        <v>Dec-2024</v>
      </c>
      <c r="N167" t="s">
        <v>19</v>
      </c>
    </row>
    <row r="168" spans="1:14" x14ac:dyDescent="0.25">
      <c r="A168" t="s">
        <v>196</v>
      </c>
      <c r="B168" s="1">
        <v>45614</v>
      </c>
      <c r="D168">
        <v>59</v>
      </c>
      <c r="E168" t="s">
        <v>12</v>
      </c>
      <c r="F168" t="s">
        <v>29</v>
      </c>
      <c r="G168" t="s">
        <v>30</v>
      </c>
      <c r="H168">
        <v>8239</v>
      </c>
      <c r="I168">
        <v>11</v>
      </c>
      <c r="J168">
        <v>30</v>
      </c>
      <c r="K168">
        <f t="shared" si="6"/>
        <v>0</v>
      </c>
      <c r="L168" s="4">
        <f t="shared" ca="1" si="7"/>
        <v>17</v>
      </c>
      <c r="M168" t="str">
        <f t="shared" si="8"/>
        <v>Nov-2024</v>
      </c>
      <c r="N168" t="s">
        <v>25</v>
      </c>
    </row>
    <row r="169" spans="1:14" x14ac:dyDescent="0.25">
      <c r="A169" t="s">
        <v>197</v>
      </c>
      <c r="B169" s="1">
        <v>45876</v>
      </c>
      <c r="D169">
        <v>23</v>
      </c>
      <c r="E169" t="s">
        <v>12</v>
      </c>
      <c r="F169" t="s">
        <v>38</v>
      </c>
      <c r="G169" t="s">
        <v>30</v>
      </c>
      <c r="H169">
        <v>1498</v>
      </c>
      <c r="I169">
        <v>2</v>
      </c>
      <c r="J169">
        <v>69</v>
      </c>
      <c r="K169">
        <f t="shared" si="6"/>
        <v>0</v>
      </c>
      <c r="L169" s="4">
        <f t="shared" ca="1" si="7"/>
        <v>8</v>
      </c>
      <c r="M169" t="str">
        <f t="shared" si="8"/>
        <v>Aug-2025</v>
      </c>
      <c r="N169" t="s">
        <v>25</v>
      </c>
    </row>
    <row r="170" spans="1:14" x14ac:dyDescent="0.25">
      <c r="A170" t="s">
        <v>198</v>
      </c>
      <c r="B170" s="1">
        <v>45027</v>
      </c>
      <c r="D170">
        <v>32</v>
      </c>
      <c r="E170" t="s">
        <v>21</v>
      </c>
      <c r="F170" t="s">
        <v>38</v>
      </c>
      <c r="G170" t="s">
        <v>18</v>
      </c>
      <c r="H170">
        <v>24769</v>
      </c>
      <c r="I170">
        <v>31</v>
      </c>
      <c r="J170">
        <v>64</v>
      </c>
      <c r="K170">
        <f t="shared" si="6"/>
        <v>0</v>
      </c>
      <c r="L170" s="4">
        <f t="shared" ca="1" si="7"/>
        <v>36</v>
      </c>
      <c r="M170" t="str">
        <f t="shared" si="8"/>
        <v>Apr-2023</v>
      </c>
      <c r="N170" t="s">
        <v>19</v>
      </c>
    </row>
    <row r="171" spans="1:14" x14ac:dyDescent="0.25">
      <c r="A171" t="s">
        <v>199</v>
      </c>
      <c r="B171" s="1">
        <v>45323</v>
      </c>
      <c r="D171">
        <v>32</v>
      </c>
      <c r="E171" t="s">
        <v>12</v>
      </c>
      <c r="F171" t="s">
        <v>41</v>
      </c>
      <c r="G171" t="s">
        <v>30</v>
      </c>
      <c r="H171">
        <v>15729</v>
      </c>
      <c r="I171">
        <v>21</v>
      </c>
      <c r="J171">
        <v>75</v>
      </c>
      <c r="K171">
        <f t="shared" si="6"/>
        <v>0</v>
      </c>
      <c r="L171" s="4">
        <f t="shared" ca="1" si="7"/>
        <v>26</v>
      </c>
      <c r="M171" t="str">
        <f t="shared" si="8"/>
        <v>Feb-2024</v>
      </c>
      <c r="N171" t="s">
        <v>19</v>
      </c>
    </row>
    <row r="172" spans="1:14" x14ac:dyDescent="0.25">
      <c r="A172" t="s">
        <v>200</v>
      </c>
      <c r="B172" s="1">
        <v>45114</v>
      </c>
      <c r="C172" s="1">
        <v>45324</v>
      </c>
      <c r="D172">
        <v>57</v>
      </c>
      <c r="E172" t="s">
        <v>12</v>
      </c>
      <c r="F172" t="s">
        <v>22</v>
      </c>
      <c r="G172" t="s">
        <v>30</v>
      </c>
      <c r="H172">
        <v>5243</v>
      </c>
      <c r="I172">
        <v>7</v>
      </c>
      <c r="J172">
        <v>28</v>
      </c>
      <c r="K172">
        <f t="shared" si="6"/>
        <v>1</v>
      </c>
      <c r="L172" s="4">
        <f t="shared" ca="1" si="7"/>
        <v>7</v>
      </c>
      <c r="M172" t="str">
        <f t="shared" si="8"/>
        <v>Jul-2023</v>
      </c>
      <c r="N172" t="s">
        <v>19</v>
      </c>
    </row>
    <row r="173" spans="1:14" x14ac:dyDescent="0.25">
      <c r="A173" t="s">
        <v>201</v>
      </c>
      <c r="B173" s="1">
        <v>45396</v>
      </c>
      <c r="C173" s="1">
        <v>45606</v>
      </c>
      <c r="D173">
        <v>21</v>
      </c>
      <c r="E173" t="s">
        <v>21</v>
      </c>
      <c r="F173" t="s">
        <v>17</v>
      </c>
      <c r="G173" t="s">
        <v>18</v>
      </c>
      <c r="H173">
        <v>5593</v>
      </c>
      <c r="I173">
        <v>7</v>
      </c>
      <c r="J173">
        <v>77</v>
      </c>
      <c r="K173">
        <f t="shared" si="6"/>
        <v>1</v>
      </c>
      <c r="L173" s="4">
        <f t="shared" ca="1" si="7"/>
        <v>7</v>
      </c>
      <c r="M173" t="str">
        <f t="shared" si="8"/>
        <v>Apr-2024</v>
      </c>
      <c r="N173" t="s">
        <v>19</v>
      </c>
    </row>
    <row r="174" spans="1:14" x14ac:dyDescent="0.25">
      <c r="A174" t="s">
        <v>202</v>
      </c>
      <c r="B174" s="1">
        <v>45863</v>
      </c>
      <c r="D174">
        <v>50</v>
      </c>
      <c r="E174" t="s">
        <v>21</v>
      </c>
      <c r="F174" t="s">
        <v>41</v>
      </c>
      <c r="G174" t="s">
        <v>18</v>
      </c>
      <c r="H174">
        <v>2397</v>
      </c>
      <c r="I174">
        <v>3</v>
      </c>
      <c r="J174">
        <v>53</v>
      </c>
      <c r="K174">
        <f t="shared" si="6"/>
        <v>0</v>
      </c>
      <c r="L174" s="4">
        <f t="shared" ca="1" si="7"/>
        <v>8</v>
      </c>
      <c r="M174" t="str">
        <f t="shared" si="8"/>
        <v>Jul-2025</v>
      </c>
      <c r="N174" t="s">
        <v>25</v>
      </c>
    </row>
    <row r="175" spans="1:14" x14ac:dyDescent="0.25">
      <c r="A175" t="s">
        <v>203</v>
      </c>
      <c r="B175" s="1">
        <v>45862</v>
      </c>
      <c r="C175" s="1">
        <v>45922</v>
      </c>
      <c r="D175">
        <v>38</v>
      </c>
      <c r="E175" t="s">
        <v>21</v>
      </c>
      <c r="F175" t="s">
        <v>27</v>
      </c>
      <c r="G175" t="s">
        <v>18</v>
      </c>
      <c r="H175">
        <v>1598</v>
      </c>
      <c r="I175">
        <v>2</v>
      </c>
      <c r="J175">
        <v>95</v>
      </c>
      <c r="K175">
        <f t="shared" si="6"/>
        <v>1</v>
      </c>
      <c r="L175" s="4">
        <f t="shared" ca="1" si="7"/>
        <v>2</v>
      </c>
      <c r="M175" t="str">
        <f t="shared" si="8"/>
        <v>Jul-2025</v>
      </c>
      <c r="N175" t="s">
        <v>19</v>
      </c>
    </row>
    <row r="176" spans="1:14" x14ac:dyDescent="0.25">
      <c r="A176" t="s">
        <v>204</v>
      </c>
      <c r="B176" s="1">
        <v>45360</v>
      </c>
      <c r="D176">
        <v>21</v>
      </c>
      <c r="E176" t="s">
        <v>21</v>
      </c>
      <c r="F176" t="s">
        <v>22</v>
      </c>
      <c r="G176" t="s">
        <v>30</v>
      </c>
      <c r="H176">
        <v>14980</v>
      </c>
      <c r="I176">
        <v>20</v>
      </c>
      <c r="J176">
        <v>27</v>
      </c>
      <c r="K176">
        <f t="shared" si="6"/>
        <v>0</v>
      </c>
      <c r="L176" s="4">
        <f t="shared" ca="1" si="7"/>
        <v>25</v>
      </c>
      <c r="M176" t="str">
        <f t="shared" si="8"/>
        <v>Mar-2024</v>
      </c>
      <c r="N176" t="s">
        <v>19</v>
      </c>
    </row>
    <row r="177" spans="1:14" x14ac:dyDescent="0.25">
      <c r="A177" t="s">
        <v>205</v>
      </c>
      <c r="B177" s="1">
        <v>45540</v>
      </c>
      <c r="C177" s="1">
        <v>45870</v>
      </c>
      <c r="D177">
        <v>59</v>
      </c>
      <c r="E177" t="s">
        <v>12</v>
      </c>
      <c r="F177" t="s">
        <v>32</v>
      </c>
      <c r="G177" t="s">
        <v>18</v>
      </c>
      <c r="H177">
        <v>8789</v>
      </c>
      <c r="I177">
        <v>11</v>
      </c>
      <c r="J177">
        <v>90</v>
      </c>
      <c r="K177">
        <f t="shared" si="6"/>
        <v>1</v>
      </c>
      <c r="L177" s="4">
        <f t="shared" ca="1" si="7"/>
        <v>11</v>
      </c>
      <c r="M177" t="str">
        <f t="shared" si="8"/>
        <v>Sep-2024</v>
      </c>
      <c r="N177" t="s">
        <v>23</v>
      </c>
    </row>
    <row r="178" spans="1:14" x14ac:dyDescent="0.25">
      <c r="A178" t="s">
        <v>206</v>
      </c>
      <c r="B178" s="1">
        <v>45110</v>
      </c>
      <c r="D178">
        <v>58</v>
      </c>
      <c r="E178" t="s">
        <v>12</v>
      </c>
      <c r="F178" t="s">
        <v>41</v>
      </c>
      <c r="G178" t="s">
        <v>14</v>
      </c>
      <c r="H178">
        <v>19572</v>
      </c>
      <c r="I178">
        <v>28</v>
      </c>
      <c r="J178">
        <v>81</v>
      </c>
      <c r="K178">
        <f t="shared" si="6"/>
        <v>0</v>
      </c>
      <c r="L178" s="4">
        <f t="shared" ca="1" si="7"/>
        <v>33</v>
      </c>
      <c r="M178" t="str">
        <f t="shared" si="8"/>
        <v>Jul-2023</v>
      </c>
      <c r="N178" t="s">
        <v>23</v>
      </c>
    </row>
    <row r="179" spans="1:14" x14ac:dyDescent="0.25">
      <c r="A179" t="s">
        <v>207</v>
      </c>
      <c r="B179" s="1">
        <v>45934</v>
      </c>
      <c r="D179">
        <v>18</v>
      </c>
      <c r="E179" t="s">
        <v>21</v>
      </c>
      <c r="F179" t="s">
        <v>13</v>
      </c>
      <c r="G179" t="s">
        <v>30</v>
      </c>
      <c r="H179">
        <v>749</v>
      </c>
      <c r="I179">
        <v>1</v>
      </c>
      <c r="J179">
        <v>36</v>
      </c>
      <c r="K179">
        <f t="shared" si="6"/>
        <v>0</v>
      </c>
      <c r="L179" s="4">
        <f t="shared" ca="1" si="7"/>
        <v>6</v>
      </c>
      <c r="M179" t="str">
        <f t="shared" si="8"/>
        <v>Oct-2025</v>
      </c>
      <c r="N179" t="s">
        <v>23</v>
      </c>
    </row>
    <row r="180" spans="1:14" x14ac:dyDescent="0.25">
      <c r="A180" t="s">
        <v>208</v>
      </c>
      <c r="B180" s="1">
        <v>45510</v>
      </c>
      <c r="D180">
        <v>41</v>
      </c>
      <c r="E180" t="s">
        <v>21</v>
      </c>
      <c r="F180" t="s">
        <v>32</v>
      </c>
      <c r="G180" t="s">
        <v>30</v>
      </c>
      <c r="H180">
        <v>11235</v>
      </c>
      <c r="I180">
        <v>15</v>
      </c>
      <c r="J180">
        <v>53</v>
      </c>
      <c r="K180">
        <f t="shared" si="6"/>
        <v>0</v>
      </c>
      <c r="L180" s="4">
        <f t="shared" ca="1" si="7"/>
        <v>20</v>
      </c>
      <c r="M180" t="str">
        <f t="shared" si="8"/>
        <v>Aug-2024</v>
      </c>
      <c r="N180" t="s">
        <v>19</v>
      </c>
    </row>
    <row r="181" spans="1:14" x14ac:dyDescent="0.25">
      <c r="A181" t="s">
        <v>209</v>
      </c>
      <c r="B181" s="1">
        <v>45205</v>
      </c>
      <c r="D181">
        <v>43</v>
      </c>
      <c r="E181" t="s">
        <v>21</v>
      </c>
      <c r="F181" t="s">
        <v>47</v>
      </c>
      <c r="G181" t="s">
        <v>18</v>
      </c>
      <c r="H181">
        <v>19975</v>
      </c>
      <c r="I181">
        <v>25</v>
      </c>
      <c r="J181">
        <v>100</v>
      </c>
      <c r="K181">
        <f t="shared" si="6"/>
        <v>0</v>
      </c>
      <c r="L181" s="4">
        <f t="shared" ca="1" si="7"/>
        <v>30</v>
      </c>
      <c r="M181" t="str">
        <f t="shared" si="8"/>
        <v>Oct-2023</v>
      </c>
      <c r="N181" t="s">
        <v>25</v>
      </c>
    </row>
    <row r="182" spans="1:14" x14ac:dyDescent="0.25">
      <c r="A182" t="s">
        <v>210</v>
      </c>
      <c r="B182" s="1">
        <v>45422</v>
      </c>
      <c r="D182">
        <v>55</v>
      </c>
      <c r="E182" t="s">
        <v>21</v>
      </c>
      <c r="F182" t="s">
        <v>47</v>
      </c>
      <c r="G182" t="s">
        <v>18</v>
      </c>
      <c r="H182">
        <v>14382</v>
      </c>
      <c r="I182">
        <v>18</v>
      </c>
      <c r="J182">
        <v>74</v>
      </c>
      <c r="K182">
        <f t="shared" si="6"/>
        <v>0</v>
      </c>
      <c r="L182" s="4">
        <f t="shared" ca="1" si="7"/>
        <v>23</v>
      </c>
      <c r="M182" t="str">
        <f t="shared" si="8"/>
        <v>May-2024</v>
      </c>
      <c r="N182" t="s">
        <v>19</v>
      </c>
    </row>
    <row r="183" spans="1:14" x14ac:dyDescent="0.25">
      <c r="A183" t="s">
        <v>211</v>
      </c>
      <c r="B183" s="1">
        <v>45128</v>
      </c>
      <c r="D183">
        <v>39</v>
      </c>
      <c r="E183" t="s">
        <v>12</v>
      </c>
      <c r="F183" t="s">
        <v>57</v>
      </c>
      <c r="G183" t="s">
        <v>18</v>
      </c>
      <c r="H183">
        <v>21573</v>
      </c>
      <c r="I183">
        <v>27</v>
      </c>
      <c r="J183">
        <v>74</v>
      </c>
      <c r="K183">
        <f t="shared" si="6"/>
        <v>0</v>
      </c>
      <c r="L183" s="4">
        <f t="shared" ca="1" si="7"/>
        <v>33</v>
      </c>
      <c r="M183" t="str">
        <f t="shared" si="8"/>
        <v>Jul-2023</v>
      </c>
      <c r="N183" t="s">
        <v>23</v>
      </c>
    </row>
    <row r="184" spans="1:14" x14ac:dyDescent="0.25">
      <c r="A184" t="s">
        <v>212</v>
      </c>
      <c r="B184" s="1">
        <v>45680</v>
      </c>
      <c r="D184">
        <v>28</v>
      </c>
      <c r="E184" t="s">
        <v>12</v>
      </c>
      <c r="F184" t="s">
        <v>38</v>
      </c>
      <c r="G184" t="s">
        <v>30</v>
      </c>
      <c r="H184">
        <v>6741</v>
      </c>
      <c r="I184">
        <v>9</v>
      </c>
      <c r="J184">
        <v>81</v>
      </c>
      <c r="K184">
        <f t="shared" si="6"/>
        <v>0</v>
      </c>
      <c r="L184" s="4">
        <f t="shared" ca="1" si="7"/>
        <v>14</v>
      </c>
      <c r="M184" t="str">
        <f t="shared" si="8"/>
        <v>Jan-2025</v>
      </c>
      <c r="N184" t="s">
        <v>19</v>
      </c>
    </row>
    <row r="185" spans="1:14" x14ac:dyDescent="0.25">
      <c r="A185" t="s">
        <v>213</v>
      </c>
      <c r="B185" s="1">
        <v>45172</v>
      </c>
      <c r="C185" s="1">
        <v>45442</v>
      </c>
      <c r="D185">
        <v>42</v>
      </c>
      <c r="E185" t="s">
        <v>21</v>
      </c>
      <c r="F185" t="s">
        <v>27</v>
      </c>
      <c r="G185" t="s">
        <v>30</v>
      </c>
      <c r="H185">
        <v>6741</v>
      </c>
      <c r="I185">
        <v>9</v>
      </c>
      <c r="J185">
        <v>65</v>
      </c>
      <c r="K185">
        <f t="shared" si="6"/>
        <v>1</v>
      </c>
      <c r="L185" s="4">
        <f t="shared" ca="1" si="7"/>
        <v>9</v>
      </c>
      <c r="M185" t="str">
        <f t="shared" si="8"/>
        <v>Sep-2023</v>
      </c>
      <c r="N185" t="s">
        <v>23</v>
      </c>
    </row>
    <row r="186" spans="1:14" x14ac:dyDescent="0.25">
      <c r="A186" t="s">
        <v>214</v>
      </c>
      <c r="B186" s="1">
        <v>45484</v>
      </c>
      <c r="D186">
        <v>44</v>
      </c>
      <c r="E186" t="s">
        <v>21</v>
      </c>
      <c r="F186" t="s">
        <v>17</v>
      </c>
      <c r="G186" t="s">
        <v>14</v>
      </c>
      <c r="H186">
        <v>10485</v>
      </c>
      <c r="I186">
        <v>15</v>
      </c>
      <c r="J186">
        <v>63</v>
      </c>
      <c r="K186">
        <f t="shared" si="6"/>
        <v>0</v>
      </c>
      <c r="L186" s="4">
        <f t="shared" ca="1" si="7"/>
        <v>21</v>
      </c>
      <c r="M186" t="str">
        <f t="shared" si="8"/>
        <v>Jul-2024</v>
      </c>
      <c r="N186" t="s">
        <v>23</v>
      </c>
    </row>
    <row r="187" spans="1:14" x14ac:dyDescent="0.25">
      <c r="A187" t="s">
        <v>215</v>
      </c>
      <c r="B187" s="1">
        <v>44887</v>
      </c>
      <c r="D187">
        <v>39</v>
      </c>
      <c r="E187" t="s">
        <v>12</v>
      </c>
      <c r="F187" t="s">
        <v>41</v>
      </c>
      <c r="G187" t="s">
        <v>30</v>
      </c>
      <c r="H187">
        <v>26215</v>
      </c>
      <c r="I187">
        <v>35</v>
      </c>
      <c r="J187">
        <v>75</v>
      </c>
      <c r="K187">
        <f t="shared" si="6"/>
        <v>0</v>
      </c>
      <c r="L187" s="4">
        <f t="shared" ca="1" si="7"/>
        <v>41</v>
      </c>
      <c r="M187" t="str">
        <f t="shared" si="8"/>
        <v>Nov-2022</v>
      </c>
      <c r="N187" t="s">
        <v>19</v>
      </c>
    </row>
    <row r="188" spans="1:14" x14ac:dyDescent="0.25">
      <c r="A188" t="s">
        <v>216</v>
      </c>
      <c r="B188" s="1">
        <v>45830</v>
      </c>
      <c r="D188">
        <v>52</v>
      </c>
      <c r="E188" t="s">
        <v>15</v>
      </c>
      <c r="F188" t="s">
        <v>41</v>
      </c>
      <c r="G188" t="s">
        <v>18</v>
      </c>
      <c r="H188">
        <v>3196</v>
      </c>
      <c r="I188">
        <v>4</v>
      </c>
      <c r="J188">
        <v>61</v>
      </c>
      <c r="K188">
        <f t="shared" si="6"/>
        <v>0</v>
      </c>
      <c r="L188" s="4">
        <f t="shared" ca="1" si="7"/>
        <v>9</v>
      </c>
      <c r="M188" t="str">
        <f t="shared" si="8"/>
        <v>Jun-2025</v>
      </c>
      <c r="N188" t="s">
        <v>19</v>
      </c>
    </row>
    <row r="189" spans="1:14" x14ac:dyDescent="0.25">
      <c r="A189" t="s">
        <v>217</v>
      </c>
      <c r="B189" s="1">
        <v>45188</v>
      </c>
      <c r="D189">
        <v>27</v>
      </c>
      <c r="E189" t="s">
        <v>12</v>
      </c>
      <c r="F189" t="s">
        <v>17</v>
      </c>
      <c r="G189" t="s">
        <v>18</v>
      </c>
      <c r="H189">
        <v>19975</v>
      </c>
      <c r="I189">
        <v>25</v>
      </c>
      <c r="J189">
        <v>50</v>
      </c>
      <c r="K189">
        <f t="shared" si="6"/>
        <v>0</v>
      </c>
      <c r="L189" s="4">
        <f t="shared" ca="1" si="7"/>
        <v>31</v>
      </c>
      <c r="M189" t="str">
        <f t="shared" si="8"/>
        <v>Sep-2023</v>
      </c>
      <c r="N189" t="s">
        <v>19</v>
      </c>
    </row>
    <row r="190" spans="1:14" x14ac:dyDescent="0.25">
      <c r="A190" t="s">
        <v>218</v>
      </c>
      <c r="B190" s="1">
        <v>45937</v>
      </c>
      <c r="C190" s="1">
        <v>45962</v>
      </c>
      <c r="D190">
        <v>38</v>
      </c>
      <c r="E190" t="s">
        <v>21</v>
      </c>
      <c r="F190" t="s">
        <v>22</v>
      </c>
      <c r="G190" t="s">
        <v>18</v>
      </c>
      <c r="H190">
        <v>799</v>
      </c>
      <c r="I190">
        <v>1</v>
      </c>
      <c r="J190">
        <v>100</v>
      </c>
      <c r="K190">
        <f t="shared" si="6"/>
        <v>1</v>
      </c>
      <c r="L190" s="4">
        <f t="shared" ca="1" si="7"/>
        <v>1</v>
      </c>
      <c r="M190" t="str">
        <f t="shared" si="8"/>
        <v>Oct-2025</v>
      </c>
      <c r="N190" t="s">
        <v>19</v>
      </c>
    </row>
    <row r="191" spans="1:14" x14ac:dyDescent="0.25">
      <c r="A191" t="s">
        <v>219</v>
      </c>
      <c r="B191" s="1">
        <v>45630</v>
      </c>
      <c r="D191">
        <v>54</v>
      </c>
      <c r="E191" t="s">
        <v>21</v>
      </c>
      <c r="F191" t="s">
        <v>47</v>
      </c>
      <c r="G191" t="s">
        <v>18</v>
      </c>
      <c r="H191">
        <v>8789</v>
      </c>
      <c r="I191">
        <v>11</v>
      </c>
      <c r="J191">
        <v>40</v>
      </c>
      <c r="K191">
        <f t="shared" si="6"/>
        <v>0</v>
      </c>
      <c r="L191" s="4">
        <f t="shared" ca="1" si="7"/>
        <v>16</v>
      </c>
      <c r="M191" t="str">
        <f t="shared" si="8"/>
        <v>Dec-2024</v>
      </c>
      <c r="N191" t="s">
        <v>25</v>
      </c>
    </row>
    <row r="192" spans="1:14" x14ac:dyDescent="0.25">
      <c r="A192" t="s">
        <v>220</v>
      </c>
      <c r="B192" s="1">
        <v>45713</v>
      </c>
      <c r="D192">
        <v>30</v>
      </c>
      <c r="E192" t="s">
        <v>12</v>
      </c>
      <c r="F192" t="s">
        <v>13</v>
      </c>
      <c r="G192" t="s">
        <v>18</v>
      </c>
      <c r="H192">
        <v>6392</v>
      </c>
      <c r="I192">
        <v>8</v>
      </c>
      <c r="J192">
        <v>81</v>
      </c>
      <c r="K192">
        <f t="shared" si="6"/>
        <v>0</v>
      </c>
      <c r="L192" s="4">
        <f t="shared" ca="1" si="7"/>
        <v>13</v>
      </c>
      <c r="M192" t="str">
        <f t="shared" si="8"/>
        <v>Feb-2025</v>
      </c>
      <c r="N192" t="s">
        <v>23</v>
      </c>
    </row>
    <row r="193" spans="1:14" x14ac:dyDescent="0.25">
      <c r="A193" t="s">
        <v>221</v>
      </c>
      <c r="B193" s="1">
        <v>45690</v>
      </c>
      <c r="D193">
        <v>26</v>
      </c>
      <c r="E193" t="s">
        <v>21</v>
      </c>
      <c r="F193" t="s">
        <v>22</v>
      </c>
      <c r="G193" t="s">
        <v>14</v>
      </c>
      <c r="H193">
        <v>6291</v>
      </c>
      <c r="I193">
        <v>9</v>
      </c>
      <c r="J193">
        <v>53</v>
      </c>
      <c r="K193">
        <f t="shared" si="6"/>
        <v>0</v>
      </c>
      <c r="L193" s="4">
        <f t="shared" ca="1" si="7"/>
        <v>14</v>
      </c>
      <c r="M193" t="str">
        <f t="shared" si="8"/>
        <v>Feb-2025</v>
      </c>
      <c r="N193" t="s">
        <v>23</v>
      </c>
    </row>
    <row r="194" spans="1:14" x14ac:dyDescent="0.25">
      <c r="A194" t="s">
        <v>222</v>
      </c>
      <c r="B194" s="1">
        <v>45193</v>
      </c>
      <c r="D194">
        <v>28</v>
      </c>
      <c r="E194" t="s">
        <v>21</v>
      </c>
      <c r="F194" t="s">
        <v>27</v>
      </c>
      <c r="G194" t="s">
        <v>18</v>
      </c>
      <c r="H194">
        <v>19975</v>
      </c>
      <c r="I194">
        <v>25</v>
      </c>
      <c r="J194">
        <v>73</v>
      </c>
      <c r="K194">
        <f t="shared" si="6"/>
        <v>0</v>
      </c>
      <c r="L194" s="4">
        <f t="shared" ca="1" si="7"/>
        <v>31</v>
      </c>
      <c r="M194" t="str">
        <f t="shared" si="8"/>
        <v>Sep-2023</v>
      </c>
      <c r="N194" t="s">
        <v>19</v>
      </c>
    </row>
    <row r="195" spans="1:14" x14ac:dyDescent="0.25">
      <c r="A195" t="s">
        <v>223</v>
      </c>
      <c r="B195" s="1">
        <v>45170</v>
      </c>
      <c r="C195" s="1">
        <v>45680</v>
      </c>
      <c r="D195">
        <v>23</v>
      </c>
      <c r="E195" t="s">
        <v>12</v>
      </c>
      <c r="F195" t="s">
        <v>29</v>
      </c>
      <c r="G195" t="s">
        <v>18</v>
      </c>
      <c r="H195">
        <v>13583</v>
      </c>
      <c r="I195">
        <v>17</v>
      </c>
      <c r="J195">
        <v>70</v>
      </c>
      <c r="K195">
        <f t="shared" ref="K195:K258" si="9">IF(ISBLANK(C195), 0, 1)</f>
        <v>1</v>
      </c>
      <c r="L195" s="4">
        <f t="shared" ref="L195:L258" ca="1" si="10">ROUNDUP(DATEDIF(B195, IF(ISBLANK(C195), TODAY(), C195), "d")/30, 0)</f>
        <v>17</v>
      </c>
      <c r="M195" t="str">
        <f t="shared" ref="M195:M258" si="11">TEXT(B195, "mmm-yyyy")</f>
        <v>Sep-2023</v>
      </c>
      <c r="N195" t="s">
        <v>23</v>
      </c>
    </row>
    <row r="196" spans="1:14" x14ac:dyDescent="0.25">
      <c r="A196" t="s">
        <v>224</v>
      </c>
      <c r="B196" s="1">
        <v>45305</v>
      </c>
      <c r="C196" s="1">
        <v>45605</v>
      </c>
      <c r="D196">
        <v>29</v>
      </c>
      <c r="E196" t="s">
        <v>21</v>
      </c>
      <c r="F196" t="s">
        <v>32</v>
      </c>
      <c r="G196" t="s">
        <v>18</v>
      </c>
      <c r="H196">
        <v>7990</v>
      </c>
      <c r="I196">
        <v>10</v>
      </c>
      <c r="J196">
        <v>27</v>
      </c>
      <c r="K196">
        <f t="shared" si="9"/>
        <v>1</v>
      </c>
      <c r="L196" s="4">
        <f t="shared" ca="1" si="10"/>
        <v>10</v>
      </c>
      <c r="M196" t="str">
        <f t="shared" si="11"/>
        <v>Jan-2024</v>
      </c>
      <c r="N196" t="s">
        <v>23</v>
      </c>
    </row>
    <row r="197" spans="1:14" x14ac:dyDescent="0.25">
      <c r="A197" t="s">
        <v>225</v>
      </c>
      <c r="B197" s="1">
        <v>45452</v>
      </c>
      <c r="D197">
        <v>49</v>
      </c>
      <c r="E197" t="s">
        <v>12</v>
      </c>
      <c r="F197" t="s">
        <v>13</v>
      </c>
      <c r="G197" t="s">
        <v>14</v>
      </c>
      <c r="H197">
        <v>11883</v>
      </c>
      <c r="I197">
        <v>17</v>
      </c>
      <c r="J197">
        <v>73</v>
      </c>
      <c r="K197">
        <f t="shared" si="9"/>
        <v>0</v>
      </c>
      <c r="L197" s="4">
        <f t="shared" ca="1" si="10"/>
        <v>22</v>
      </c>
      <c r="M197" t="str">
        <f t="shared" si="11"/>
        <v>Jun-2024</v>
      </c>
      <c r="N197" t="s">
        <v>23</v>
      </c>
    </row>
    <row r="198" spans="1:14" x14ac:dyDescent="0.25">
      <c r="A198" t="s">
        <v>226</v>
      </c>
      <c r="B198" s="1">
        <v>45594</v>
      </c>
      <c r="D198">
        <v>46</v>
      </c>
      <c r="E198" t="s">
        <v>21</v>
      </c>
      <c r="F198" t="s">
        <v>57</v>
      </c>
      <c r="G198" t="s">
        <v>18</v>
      </c>
      <c r="H198">
        <v>9588</v>
      </c>
      <c r="I198">
        <v>12</v>
      </c>
      <c r="J198">
        <v>100</v>
      </c>
      <c r="K198">
        <f t="shared" si="9"/>
        <v>0</v>
      </c>
      <c r="L198" s="4">
        <f t="shared" ca="1" si="10"/>
        <v>17</v>
      </c>
      <c r="M198" t="str">
        <f t="shared" si="11"/>
        <v>Oct-2024</v>
      </c>
      <c r="N198" t="s">
        <v>25</v>
      </c>
    </row>
    <row r="199" spans="1:14" x14ac:dyDescent="0.25">
      <c r="A199" t="s">
        <v>227</v>
      </c>
      <c r="B199" s="1">
        <v>45230</v>
      </c>
      <c r="D199">
        <v>23</v>
      </c>
      <c r="E199" t="s">
        <v>12</v>
      </c>
      <c r="F199" t="s">
        <v>32</v>
      </c>
      <c r="G199" t="s">
        <v>18</v>
      </c>
      <c r="H199">
        <v>19176</v>
      </c>
      <c r="I199">
        <v>24</v>
      </c>
      <c r="J199">
        <v>43</v>
      </c>
      <c r="K199">
        <f t="shared" si="9"/>
        <v>0</v>
      </c>
      <c r="L199" s="4">
        <f t="shared" ca="1" si="10"/>
        <v>29</v>
      </c>
      <c r="M199" t="str">
        <f t="shared" si="11"/>
        <v>Oct-2023</v>
      </c>
      <c r="N199" t="s">
        <v>15</v>
      </c>
    </row>
    <row r="200" spans="1:14" x14ac:dyDescent="0.25">
      <c r="A200" t="s">
        <v>228</v>
      </c>
      <c r="B200" s="1">
        <v>44986</v>
      </c>
      <c r="C200" s="1">
        <v>45466</v>
      </c>
      <c r="D200">
        <v>21</v>
      </c>
      <c r="E200" t="s">
        <v>21</v>
      </c>
      <c r="F200" t="s">
        <v>32</v>
      </c>
      <c r="G200" t="s">
        <v>18</v>
      </c>
      <c r="H200">
        <v>12784</v>
      </c>
      <c r="I200">
        <v>16</v>
      </c>
      <c r="J200">
        <v>34</v>
      </c>
      <c r="K200">
        <f t="shared" si="9"/>
        <v>1</v>
      </c>
      <c r="L200" s="4">
        <f t="shared" ca="1" si="10"/>
        <v>16</v>
      </c>
      <c r="M200" t="str">
        <f t="shared" si="11"/>
        <v>Mar-2023</v>
      </c>
      <c r="N200" t="s">
        <v>25</v>
      </c>
    </row>
    <row r="201" spans="1:14" x14ac:dyDescent="0.25">
      <c r="A201" t="s">
        <v>229</v>
      </c>
      <c r="B201" s="1">
        <v>45927</v>
      </c>
      <c r="D201">
        <v>58</v>
      </c>
      <c r="E201" t="s">
        <v>21</v>
      </c>
      <c r="F201" t="s">
        <v>22</v>
      </c>
      <c r="G201" t="s">
        <v>18</v>
      </c>
      <c r="H201">
        <v>799</v>
      </c>
      <c r="I201">
        <v>1</v>
      </c>
      <c r="J201">
        <v>100</v>
      </c>
      <c r="K201">
        <f t="shared" si="9"/>
        <v>0</v>
      </c>
      <c r="L201" s="4">
        <f t="shared" ca="1" si="10"/>
        <v>6</v>
      </c>
      <c r="M201" t="str">
        <f t="shared" si="11"/>
        <v>Sep-2025</v>
      </c>
      <c r="N201" t="s">
        <v>19</v>
      </c>
    </row>
    <row r="202" spans="1:14" x14ac:dyDescent="0.25">
      <c r="A202" t="s">
        <v>230</v>
      </c>
      <c r="B202" s="1">
        <v>45863</v>
      </c>
      <c r="D202">
        <v>19</v>
      </c>
      <c r="E202" t="s">
        <v>12</v>
      </c>
      <c r="F202" t="s">
        <v>27</v>
      </c>
      <c r="G202" t="s">
        <v>18</v>
      </c>
      <c r="H202">
        <v>2397</v>
      </c>
      <c r="I202">
        <v>3</v>
      </c>
      <c r="J202">
        <v>62</v>
      </c>
      <c r="K202">
        <f t="shared" si="9"/>
        <v>0</v>
      </c>
      <c r="L202" s="4">
        <f t="shared" ca="1" si="10"/>
        <v>8</v>
      </c>
      <c r="M202" t="str">
        <f t="shared" si="11"/>
        <v>Jul-2025</v>
      </c>
      <c r="N202" t="s">
        <v>19</v>
      </c>
    </row>
    <row r="203" spans="1:14" x14ac:dyDescent="0.25">
      <c r="A203" t="s">
        <v>231</v>
      </c>
      <c r="B203" s="1">
        <v>44930</v>
      </c>
      <c r="D203">
        <v>27</v>
      </c>
      <c r="E203" t="s">
        <v>12</v>
      </c>
      <c r="F203" t="s">
        <v>38</v>
      </c>
      <c r="G203" t="s">
        <v>18</v>
      </c>
      <c r="H203">
        <v>27166</v>
      </c>
      <c r="I203">
        <v>34</v>
      </c>
      <c r="J203">
        <v>68</v>
      </c>
      <c r="K203">
        <f t="shared" si="9"/>
        <v>0</v>
      </c>
      <c r="L203" s="4">
        <f t="shared" ca="1" si="10"/>
        <v>39</v>
      </c>
      <c r="M203" t="str">
        <f t="shared" si="11"/>
        <v>Jan-2023</v>
      </c>
      <c r="N203" t="s">
        <v>25</v>
      </c>
    </row>
    <row r="204" spans="1:14" x14ac:dyDescent="0.25">
      <c r="A204" t="s">
        <v>232</v>
      </c>
      <c r="B204" s="1">
        <v>45121</v>
      </c>
      <c r="D204">
        <v>47</v>
      </c>
      <c r="E204" t="s">
        <v>21</v>
      </c>
      <c r="F204" t="s">
        <v>27</v>
      </c>
      <c r="G204" t="s">
        <v>14</v>
      </c>
      <c r="H204">
        <v>19572</v>
      </c>
      <c r="I204">
        <v>28</v>
      </c>
      <c r="J204">
        <v>84</v>
      </c>
      <c r="K204">
        <f t="shared" si="9"/>
        <v>0</v>
      </c>
      <c r="L204" s="4">
        <f t="shared" ca="1" si="10"/>
        <v>33</v>
      </c>
      <c r="M204" t="str">
        <f t="shared" si="11"/>
        <v>Jul-2023</v>
      </c>
      <c r="N204" t="s">
        <v>23</v>
      </c>
    </row>
    <row r="205" spans="1:14" x14ac:dyDescent="0.25">
      <c r="A205" t="s">
        <v>233</v>
      </c>
      <c r="B205" s="1">
        <v>45389</v>
      </c>
      <c r="C205" s="1">
        <v>45719</v>
      </c>
      <c r="D205">
        <v>42</v>
      </c>
      <c r="E205" t="s">
        <v>21</v>
      </c>
      <c r="F205" t="s">
        <v>22</v>
      </c>
      <c r="G205" t="s">
        <v>18</v>
      </c>
      <c r="H205">
        <v>8789</v>
      </c>
      <c r="I205">
        <v>11</v>
      </c>
      <c r="J205">
        <v>56</v>
      </c>
      <c r="K205">
        <f t="shared" si="9"/>
        <v>1</v>
      </c>
      <c r="L205" s="4">
        <f t="shared" ca="1" si="10"/>
        <v>11</v>
      </c>
      <c r="M205" t="str">
        <f t="shared" si="11"/>
        <v>Apr-2024</v>
      </c>
      <c r="N205" t="s">
        <v>19</v>
      </c>
    </row>
    <row r="206" spans="1:14" x14ac:dyDescent="0.25">
      <c r="A206" t="s">
        <v>234</v>
      </c>
      <c r="B206" s="1">
        <v>45826</v>
      </c>
      <c r="D206">
        <v>43</v>
      </c>
      <c r="E206" t="s">
        <v>21</v>
      </c>
      <c r="F206" t="s">
        <v>47</v>
      </c>
      <c r="G206" t="s">
        <v>18</v>
      </c>
      <c r="H206">
        <v>3196</v>
      </c>
      <c r="I206">
        <v>4</v>
      </c>
      <c r="J206">
        <v>27</v>
      </c>
      <c r="K206">
        <f t="shared" si="9"/>
        <v>0</v>
      </c>
      <c r="L206" s="4">
        <f t="shared" ca="1" si="10"/>
        <v>10</v>
      </c>
      <c r="M206" t="str">
        <f t="shared" si="11"/>
        <v>Jun-2025</v>
      </c>
      <c r="N206" t="s">
        <v>19</v>
      </c>
    </row>
    <row r="207" spans="1:14" x14ac:dyDescent="0.25">
      <c r="A207" t="s">
        <v>235</v>
      </c>
      <c r="B207" s="1">
        <v>45398</v>
      </c>
      <c r="D207">
        <v>20</v>
      </c>
      <c r="E207" t="s">
        <v>15</v>
      </c>
      <c r="F207" t="s">
        <v>13</v>
      </c>
      <c r="G207" t="s">
        <v>18</v>
      </c>
      <c r="H207">
        <v>14382</v>
      </c>
      <c r="I207">
        <v>18</v>
      </c>
      <c r="J207">
        <v>49</v>
      </c>
      <c r="K207">
        <f t="shared" si="9"/>
        <v>0</v>
      </c>
      <c r="L207" s="4">
        <f t="shared" ca="1" si="10"/>
        <v>24</v>
      </c>
      <c r="M207" t="str">
        <f t="shared" si="11"/>
        <v>Apr-2024</v>
      </c>
      <c r="N207" t="s">
        <v>19</v>
      </c>
    </row>
    <row r="208" spans="1:14" x14ac:dyDescent="0.25">
      <c r="A208" t="s">
        <v>236</v>
      </c>
      <c r="B208" s="1">
        <v>44915</v>
      </c>
      <c r="D208">
        <v>44</v>
      </c>
      <c r="E208" t="s">
        <v>21</v>
      </c>
      <c r="F208" t="s">
        <v>38</v>
      </c>
      <c r="G208" t="s">
        <v>18</v>
      </c>
      <c r="H208">
        <v>27166</v>
      </c>
      <c r="I208">
        <v>34</v>
      </c>
      <c r="J208">
        <v>62</v>
      </c>
      <c r="K208">
        <f t="shared" si="9"/>
        <v>0</v>
      </c>
      <c r="L208" s="4">
        <f t="shared" ca="1" si="10"/>
        <v>40</v>
      </c>
      <c r="M208" t="str">
        <f t="shared" si="11"/>
        <v>Dec-2022</v>
      </c>
      <c r="N208" t="s">
        <v>19</v>
      </c>
    </row>
    <row r="209" spans="1:14" x14ac:dyDescent="0.25">
      <c r="A209" t="s">
        <v>237</v>
      </c>
      <c r="B209" s="1">
        <v>45103</v>
      </c>
      <c r="D209">
        <v>47</v>
      </c>
      <c r="E209" t="s">
        <v>12</v>
      </c>
      <c r="F209" t="s">
        <v>29</v>
      </c>
      <c r="G209" t="s">
        <v>18</v>
      </c>
      <c r="H209">
        <v>22372</v>
      </c>
      <c r="I209">
        <v>28</v>
      </c>
      <c r="J209">
        <v>53</v>
      </c>
      <c r="K209">
        <f t="shared" si="9"/>
        <v>0</v>
      </c>
      <c r="L209" s="4">
        <f t="shared" ca="1" si="10"/>
        <v>34</v>
      </c>
      <c r="M209" t="str">
        <f t="shared" si="11"/>
        <v>Jun-2023</v>
      </c>
      <c r="N209" t="s">
        <v>23</v>
      </c>
    </row>
    <row r="210" spans="1:14" x14ac:dyDescent="0.25">
      <c r="A210" t="s">
        <v>238</v>
      </c>
      <c r="B210" s="1">
        <v>45530</v>
      </c>
      <c r="D210">
        <v>34</v>
      </c>
      <c r="E210" t="s">
        <v>12</v>
      </c>
      <c r="F210" t="s">
        <v>13</v>
      </c>
      <c r="G210" t="s">
        <v>14</v>
      </c>
      <c r="H210">
        <v>9786</v>
      </c>
      <c r="I210">
        <v>14</v>
      </c>
      <c r="J210">
        <v>65</v>
      </c>
      <c r="K210">
        <f t="shared" si="9"/>
        <v>0</v>
      </c>
      <c r="L210" s="4">
        <f t="shared" ca="1" si="10"/>
        <v>19</v>
      </c>
      <c r="M210" t="str">
        <f t="shared" si="11"/>
        <v>Aug-2024</v>
      </c>
      <c r="N210" t="s">
        <v>23</v>
      </c>
    </row>
    <row r="211" spans="1:14" x14ac:dyDescent="0.25">
      <c r="A211" t="s">
        <v>239</v>
      </c>
      <c r="B211" s="1">
        <v>45869</v>
      </c>
      <c r="D211">
        <v>47</v>
      </c>
      <c r="E211" t="s">
        <v>15</v>
      </c>
      <c r="F211" t="s">
        <v>57</v>
      </c>
      <c r="G211" t="s">
        <v>14</v>
      </c>
      <c r="H211">
        <v>2097</v>
      </c>
      <c r="I211">
        <v>3</v>
      </c>
      <c r="J211">
        <v>81</v>
      </c>
      <c r="K211">
        <f t="shared" si="9"/>
        <v>0</v>
      </c>
      <c r="L211" s="4">
        <f t="shared" ca="1" si="10"/>
        <v>8</v>
      </c>
      <c r="M211" t="str">
        <f t="shared" si="11"/>
        <v>Jul-2025</v>
      </c>
      <c r="N211" t="s">
        <v>23</v>
      </c>
    </row>
    <row r="212" spans="1:14" x14ac:dyDescent="0.25">
      <c r="A212" t="s">
        <v>240</v>
      </c>
      <c r="B212" s="1">
        <v>45443</v>
      </c>
      <c r="C212" s="1">
        <v>45953</v>
      </c>
      <c r="D212">
        <v>20</v>
      </c>
      <c r="E212" t="s">
        <v>21</v>
      </c>
      <c r="F212" t="s">
        <v>38</v>
      </c>
      <c r="G212" t="s">
        <v>18</v>
      </c>
      <c r="H212">
        <v>13583</v>
      </c>
      <c r="I212">
        <v>17</v>
      </c>
      <c r="J212">
        <v>34</v>
      </c>
      <c r="K212">
        <f t="shared" si="9"/>
        <v>1</v>
      </c>
      <c r="L212" s="4">
        <f t="shared" ca="1" si="10"/>
        <v>17</v>
      </c>
      <c r="M212" t="str">
        <f t="shared" si="11"/>
        <v>May-2024</v>
      </c>
      <c r="N212" t="s">
        <v>23</v>
      </c>
    </row>
    <row r="213" spans="1:14" x14ac:dyDescent="0.25">
      <c r="A213" t="s">
        <v>241</v>
      </c>
      <c r="B213" s="1">
        <v>45642</v>
      </c>
      <c r="D213">
        <v>26</v>
      </c>
      <c r="E213" t="s">
        <v>12</v>
      </c>
      <c r="F213" t="s">
        <v>47</v>
      </c>
      <c r="G213" t="s">
        <v>30</v>
      </c>
      <c r="H213">
        <v>7490</v>
      </c>
      <c r="I213">
        <v>10</v>
      </c>
      <c r="J213">
        <v>63</v>
      </c>
      <c r="K213">
        <f t="shared" si="9"/>
        <v>0</v>
      </c>
      <c r="L213" s="4">
        <f t="shared" ca="1" si="10"/>
        <v>16</v>
      </c>
      <c r="M213" t="str">
        <f t="shared" si="11"/>
        <v>Dec-2024</v>
      </c>
      <c r="N213" t="s">
        <v>23</v>
      </c>
    </row>
    <row r="214" spans="1:14" x14ac:dyDescent="0.25">
      <c r="A214" t="s">
        <v>242</v>
      </c>
      <c r="B214" s="1">
        <v>45582</v>
      </c>
      <c r="D214">
        <v>43</v>
      </c>
      <c r="E214" t="s">
        <v>12</v>
      </c>
      <c r="F214" t="s">
        <v>17</v>
      </c>
      <c r="G214" t="s">
        <v>14</v>
      </c>
      <c r="H214">
        <v>8388</v>
      </c>
      <c r="I214">
        <v>12</v>
      </c>
      <c r="J214">
        <v>88</v>
      </c>
      <c r="K214">
        <f t="shared" si="9"/>
        <v>0</v>
      </c>
      <c r="L214" s="4">
        <f t="shared" ca="1" si="10"/>
        <v>18</v>
      </c>
      <c r="M214" t="str">
        <f t="shared" si="11"/>
        <v>Oct-2024</v>
      </c>
      <c r="N214" t="s">
        <v>25</v>
      </c>
    </row>
    <row r="215" spans="1:14" x14ac:dyDescent="0.25">
      <c r="A215" t="s">
        <v>243</v>
      </c>
      <c r="B215" s="1">
        <v>45925</v>
      </c>
      <c r="D215">
        <v>55</v>
      </c>
      <c r="E215" t="s">
        <v>12</v>
      </c>
      <c r="F215" t="s">
        <v>13</v>
      </c>
      <c r="G215" t="s">
        <v>14</v>
      </c>
      <c r="H215">
        <v>699</v>
      </c>
      <c r="I215">
        <v>1</v>
      </c>
      <c r="J215">
        <v>29</v>
      </c>
      <c r="K215">
        <f t="shared" si="9"/>
        <v>0</v>
      </c>
      <c r="L215" s="4">
        <f t="shared" ca="1" si="10"/>
        <v>6</v>
      </c>
      <c r="M215" t="str">
        <f t="shared" si="11"/>
        <v>Sep-2025</v>
      </c>
      <c r="N215" t="s">
        <v>15</v>
      </c>
    </row>
    <row r="216" spans="1:14" x14ac:dyDescent="0.25">
      <c r="A216" t="s">
        <v>244</v>
      </c>
      <c r="B216" s="1">
        <v>45578</v>
      </c>
      <c r="D216">
        <v>52</v>
      </c>
      <c r="E216" t="s">
        <v>15</v>
      </c>
      <c r="F216" t="s">
        <v>17</v>
      </c>
      <c r="G216" t="s">
        <v>30</v>
      </c>
      <c r="H216">
        <v>8988</v>
      </c>
      <c r="I216">
        <v>12</v>
      </c>
      <c r="J216">
        <v>87</v>
      </c>
      <c r="K216">
        <f t="shared" si="9"/>
        <v>0</v>
      </c>
      <c r="L216" s="4">
        <f t="shared" ca="1" si="10"/>
        <v>18</v>
      </c>
      <c r="M216" t="str">
        <f t="shared" si="11"/>
        <v>Oct-2024</v>
      </c>
      <c r="N216" t="s">
        <v>19</v>
      </c>
    </row>
    <row r="217" spans="1:14" x14ac:dyDescent="0.25">
      <c r="A217" t="s">
        <v>245</v>
      </c>
      <c r="B217" s="1">
        <v>44937</v>
      </c>
      <c r="D217">
        <v>52</v>
      </c>
      <c r="E217" t="s">
        <v>21</v>
      </c>
      <c r="F217" t="s">
        <v>17</v>
      </c>
      <c r="G217" t="s">
        <v>18</v>
      </c>
      <c r="H217">
        <v>27166</v>
      </c>
      <c r="I217">
        <v>34</v>
      </c>
      <c r="J217">
        <v>100</v>
      </c>
      <c r="K217">
        <f t="shared" si="9"/>
        <v>0</v>
      </c>
      <c r="L217" s="4">
        <f t="shared" ca="1" si="10"/>
        <v>39</v>
      </c>
      <c r="M217" t="str">
        <f t="shared" si="11"/>
        <v>Jan-2023</v>
      </c>
      <c r="N217" t="s">
        <v>19</v>
      </c>
    </row>
    <row r="218" spans="1:14" x14ac:dyDescent="0.25">
      <c r="A218" t="s">
        <v>246</v>
      </c>
      <c r="B218" s="1">
        <v>44939</v>
      </c>
      <c r="D218">
        <v>25</v>
      </c>
      <c r="E218" t="s">
        <v>21</v>
      </c>
      <c r="F218" t="s">
        <v>22</v>
      </c>
      <c r="G218" t="s">
        <v>18</v>
      </c>
      <c r="H218">
        <v>27166</v>
      </c>
      <c r="I218">
        <v>34</v>
      </c>
      <c r="J218">
        <v>100</v>
      </c>
      <c r="K218">
        <f t="shared" si="9"/>
        <v>0</v>
      </c>
      <c r="L218" s="4">
        <f t="shared" ca="1" si="10"/>
        <v>39</v>
      </c>
      <c r="M218" t="str">
        <f t="shared" si="11"/>
        <v>Jan-2023</v>
      </c>
      <c r="N218" t="s">
        <v>19</v>
      </c>
    </row>
    <row r="219" spans="1:14" x14ac:dyDescent="0.25">
      <c r="A219" t="s">
        <v>247</v>
      </c>
      <c r="B219" s="1">
        <v>45051</v>
      </c>
      <c r="C219" s="1">
        <v>45381</v>
      </c>
      <c r="D219">
        <v>54</v>
      </c>
      <c r="E219" t="s">
        <v>12</v>
      </c>
      <c r="F219" t="s">
        <v>32</v>
      </c>
      <c r="G219" t="s">
        <v>18</v>
      </c>
      <c r="H219">
        <v>8789</v>
      </c>
      <c r="I219">
        <v>11</v>
      </c>
      <c r="J219">
        <v>55</v>
      </c>
      <c r="K219">
        <f t="shared" si="9"/>
        <v>1</v>
      </c>
      <c r="L219" s="4">
        <f t="shared" ca="1" si="10"/>
        <v>11</v>
      </c>
      <c r="M219" t="str">
        <f t="shared" si="11"/>
        <v>May-2023</v>
      </c>
      <c r="N219" t="s">
        <v>23</v>
      </c>
    </row>
    <row r="220" spans="1:14" x14ac:dyDescent="0.25">
      <c r="A220" t="s">
        <v>248</v>
      </c>
      <c r="B220" s="1">
        <v>45737</v>
      </c>
      <c r="D220">
        <v>55</v>
      </c>
      <c r="E220" t="s">
        <v>12</v>
      </c>
      <c r="F220" t="s">
        <v>32</v>
      </c>
      <c r="G220" t="s">
        <v>14</v>
      </c>
      <c r="H220">
        <v>4893</v>
      </c>
      <c r="I220">
        <v>7</v>
      </c>
      <c r="J220">
        <v>61</v>
      </c>
      <c r="K220">
        <f t="shared" si="9"/>
        <v>0</v>
      </c>
      <c r="L220" s="4">
        <f t="shared" ca="1" si="10"/>
        <v>12</v>
      </c>
      <c r="M220" t="str">
        <f t="shared" si="11"/>
        <v>Mar-2025</v>
      </c>
      <c r="N220" t="s">
        <v>23</v>
      </c>
    </row>
    <row r="221" spans="1:14" x14ac:dyDescent="0.25">
      <c r="A221" t="s">
        <v>249</v>
      </c>
      <c r="B221" s="1">
        <v>45235</v>
      </c>
      <c r="C221" s="1">
        <v>45655</v>
      </c>
      <c r="D221">
        <v>30</v>
      </c>
      <c r="E221" t="s">
        <v>21</v>
      </c>
      <c r="F221" t="s">
        <v>32</v>
      </c>
      <c r="G221" t="s">
        <v>18</v>
      </c>
      <c r="H221">
        <v>11186</v>
      </c>
      <c r="I221">
        <v>14</v>
      </c>
      <c r="J221">
        <v>38</v>
      </c>
      <c r="K221">
        <f t="shared" si="9"/>
        <v>1</v>
      </c>
      <c r="L221" s="4">
        <f t="shared" ca="1" si="10"/>
        <v>14</v>
      </c>
      <c r="M221" t="str">
        <f t="shared" si="11"/>
        <v>Nov-2023</v>
      </c>
      <c r="N221" t="s">
        <v>25</v>
      </c>
    </row>
    <row r="222" spans="1:14" x14ac:dyDescent="0.25">
      <c r="A222" t="s">
        <v>250</v>
      </c>
      <c r="B222" s="1">
        <v>45023</v>
      </c>
      <c r="C222" s="1">
        <v>45533</v>
      </c>
      <c r="D222">
        <v>49</v>
      </c>
      <c r="E222" t="s">
        <v>12</v>
      </c>
      <c r="F222" t="s">
        <v>27</v>
      </c>
      <c r="G222" t="s">
        <v>30</v>
      </c>
      <c r="H222">
        <v>12733</v>
      </c>
      <c r="I222">
        <v>17</v>
      </c>
      <c r="J222">
        <v>29</v>
      </c>
      <c r="K222">
        <f t="shared" si="9"/>
        <v>1</v>
      </c>
      <c r="L222" s="4">
        <f t="shared" ca="1" si="10"/>
        <v>17</v>
      </c>
      <c r="M222" t="str">
        <f t="shared" si="11"/>
        <v>Apr-2023</v>
      </c>
      <c r="N222" t="s">
        <v>23</v>
      </c>
    </row>
    <row r="223" spans="1:14" x14ac:dyDescent="0.25">
      <c r="A223" t="s">
        <v>251</v>
      </c>
      <c r="B223" s="1">
        <v>45306</v>
      </c>
      <c r="C223" s="1">
        <v>45816</v>
      </c>
      <c r="D223">
        <v>32</v>
      </c>
      <c r="E223" t="s">
        <v>21</v>
      </c>
      <c r="F223" t="s">
        <v>22</v>
      </c>
      <c r="G223" t="s">
        <v>18</v>
      </c>
      <c r="H223">
        <v>13583</v>
      </c>
      <c r="I223">
        <v>17</v>
      </c>
      <c r="J223">
        <v>34</v>
      </c>
      <c r="K223">
        <f t="shared" si="9"/>
        <v>1</v>
      </c>
      <c r="L223" s="4">
        <f t="shared" ca="1" si="10"/>
        <v>17</v>
      </c>
      <c r="M223" t="str">
        <f t="shared" si="11"/>
        <v>Jan-2024</v>
      </c>
      <c r="N223" t="s">
        <v>23</v>
      </c>
    </row>
    <row r="224" spans="1:14" x14ac:dyDescent="0.25">
      <c r="A224" t="s">
        <v>252</v>
      </c>
      <c r="B224" s="1">
        <v>45709</v>
      </c>
      <c r="D224">
        <v>30</v>
      </c>
      <c r="E224" t="s">
        <v>12</v>
      </c>
      <c r="F224" t="s">
        <v>41</v>
      </c>
      <c r="G224" t="s">
        <v>18</v>
      </c>
      <c r="H224">
        <v>6392</v>
      </c>
      <c r="I224">
        <v>8</v>
      </c>
      <c r="J224">
        <v>55</v>
      </c>
      <c r="K224">
        <f t="shared" si="9"/>
        <v>0</v>
      </c>
      <c r="L224" s="4">
        <f t="shared" ca="1" si="10"/>
        <v>13</v>
      </c>
      <c r="M224" t="str">
        <f t="shared" si="11"/>
        <v>Feb-2025</v>
      </c>
      <c r="N224" t="s">
        <v>25</v>
      </c>
    </row>
    <row r="225" spans="1:14" x14ac:dyDescent="0.25">
      <c r="A225" t="s">
        <v>253</v>
      </c>
      <c r="B225" s="1">
        <v>45723</v>
      </c>
      <c r="D225">
        <v>46</v>
      </c>
      <c r="E225" t="s">
        <v>21</v>
      </c>
      <c r="F225" t="s">
        <v>27</v>
      </c>
      <c r="G225" t="s">
        <v>18</v>
      </c>
      <c r="H225">
        <v>5593</v>
      </c>
      <c r="I225">
        <v>7</v>
      </c>
      <c r="J225">
        <v>61</v>
      </c>
      <c r="K225">
        <f t="shared" si="9"/>
        <v>0</v>
      </c>
      <c r="L225" s="4">
        <f t="shared" ca="1" si="10"/>
        <v>13</v>
      </c>
      <c r="M225" t="str">
        <f t="shared" si="11"/>
        <v>Mar-2025</v>
      </c>
      <c r="N225" t="s">
        <v>19</v>
      </c>
    </row>
    <row r="226" spans="1:14" x14ac:dyDescent="0.25">
      <c r="A226" t="s">
        <v>254</v>
      </c>
      <c r="B226" s="1">
        <v>45178</v>
      </c>
      <c r="D226">
        <v>25</v>
      </c>
      <c r="E226" t="s">
        <v>21</v>
      </c>
      <c r="F226" t="s">
        <v>32</v>
      </c>
      <c r="G226" t="s">
        <v>18</v>
      </c>
      <c r="H226">
        <v>20774</v>
      </c>
      <c r="I226">
        <v>26</v>
      </c>
      <c r="J226">
        <v>27</v>
      </c>
      <c r="K226">
        <f t="shared" si="9"/>
        <v>0</v>
      </c>
      <c r="L226" s="4">
        <f t="shared" ca="1" si="10"/>
        <v>31</v>
      </c>
      <c r="M226" t="str">
        <f t="shared" si="11"/>
        <v>Sep-2023</v>
      </c>
      <c r="N226" t="s">
        <v>25</v>
      </c>
    </row>
    <row r="227" spans="1:14" x14ac:dyDescent="0.25">
      <c r="A227" t="s">
        <v>255</v>
      </c>
      <c r="B227" s="1">
        <v>45664</v>
      </c>
      <c r="D227">
        <v>36</v>
      </c>
      <c r="E227" t="s">
        <v>12</v>
      </c>
      <c r="F227" t="s">
        <v>47</v>
      </c>
      <c r="G227" t="s">
        <v>18</v>
      </c>
      <c r="H227">
        <v>7191</v>
      </c>
      <c r="I227">
        <v>9</v>
      </c>
      <c r="J227">
        <v>73</v>
      </c>
      <c r="K227">
        <f t="shared" si="9"/>
        <v>0</v>
      </c>
      <c r="L227" s="4">
        <f t="shared" ca="1" si="10"/>
        <v>15</v>
      </c>
      <c r="M227" t="str">
        <f t="shared" si="11"/>
        <v>Jan-2025</v>
      </c>
      <c r="N227" t="s">
        <v>19</v>
      </c>
    </row>
    <row r="228" spans="1:14" x14ac:dyDescent="0.25">
      <c r="A228" t="s">
        <v>256</v>
      </c>
      <c r="B228" s="1">
        <v>44927</v>
      </c>
      <c r="C228" s="1">
        <v>45047</v>
      </c>
      <c r="D228">
        <v>49</v>
      </c>
      <c r="E228" t="s">
        <v>12</v>
      </c>
      <c r="F228" t="s">
        <v>32</v>
      </c>
      <c r="G228" t="s">
        <v>30</v>
      </c>
      <c r="H228">
        <v>2996</v>
      </c>
      <c r="I228">
        <v>4</v>
      </c>
      <c r="J228">
        <v>39</v>
      </c>
      <c r="K228">
        <f t="shared" si="9"/>
        <v>1</v>
      </c>
      <c r="L228" s="4">
        <f t="shared" ca="1" si="10"/>
        <v>4</v>
      </c>
      <c r="M228" t="str">
        <f t="shared" si="11"/>
        <v>Jan-2023</v>
      </c>
      <c r="N228" t="s">
        <v>19</v>
      </c>
    </row>
    <row r="229" spans="1:14" x14ac:dyDescent="0.25">
      <c r="A229" t="s">
        <v>257</v>
      </c>
      <c r="B229" s="1">
        <v>45470</v>
      </c>
      <c r="D229">
        <v>24</v>
      </c>
      <c r="E229" t="s">
        <v>21</v>
      </c>
      <c r="F229" t="s">
        <v>27</v>
      </c>
      <c r="G229" t="s">
        <v>14</v>
      </c>
      <c r="H229">
        <v>11184</v>
      </c>
      <c r="I229">
        <v>16</v>
      </c>
      <c r="J229">
        <v>74</v>
      </c>
      <c r="K229">
        <f t="shared" si="9"/>
        <v>0</v>
      </c>
      <c r="L229" s="4">
        <f t="shared" ca="1" si="10"/>
        <v>21</v>
      </c>
      <c r="M229" t="str">
        <f t="shared" si="11"/>
        <v>Jun-2024</v>
      </c>
      <c r="N229" t="s">
        <v>19</v>
      </c>
    </row>
    <row r="230" spans="1:14" x14ac:dyDescent="0.25">
      <c r="A230" t="s">
        <v>258</v>
      </c>
      <c r="B230" s="1">
        <v>45846</v>
      </c>
      <c r="C230" s="1">
        <v>45876</v>
      </c>
      <c r="D230">
        <v>18</v>
      </c>
      <c r="E230" t="s">
        <v>21</v>
      </c>
      <c r="F230" t="s">
        <v>13</v>
      </c>
      <c r="G230" t="s">
        <v>30</v>
      </c>
      <c r="H230">
        <v>749</v>
      </c>
      <c r="I230">
        <v>1</v>
      </c>
      <c r="J230">
        <v>36</v>
      </c>
      <c r="K230">
        <f t="shared" si="9"/>
        <v>1</v>
      </c>
      <c r="L230" s="4">
        <f t="shared" ca="1" si="10"/>
        <v>1</v>
      </c>
      <c r="M230" t="str">
        <f t="shared" si="11"/>
        <v>Jul-2025</v>
      </c>
      <c r="N230" t="s">
        <v>23</v>
      </c>
    </row>
    <row r="231" spans="1:14" x14ac:dyDescent="0.25">
      <c r="A231" t="s">
        <v>259</v>
      </c>
      <c r="B231" s="1">
        <v>44953</v>
      </c>
      <c r="D231">
        <v>40</v>
      </c>
      <c r="E231" t="s">
        <v>21</v>
      </c>
      <c r="F231" t="s">
        <v>13</v>
      </c>
      <c r="G231" t="s">
        <v>18</v>
      </c>
      <c r="H231">
        <v>26367</v>
      </c>
      <c r="I231">
        <v>33</v>
      </c>
      <c r="J231">
        <v>88</v>
      </c>
      <c r="K231">
        <f t="shared" si="9"/>
        <v>0</v>
      </c>
      <c r="L231" s="4">
        <f t="shared" ca="1" si="10"/>
        <v>39</v>
      </c>
      <c r="M231" t="str">
        <f t="shared" si="11"/>
        <v>Jan-2023</v>
      </c>
      <c r="N231" t="s">
        <v>19</v>
      </c>
    </row>
    <row r="232" spans="1:14" x14ac:dyDescent="0.25">
      <c r="A232" t="s">
        <v>260</v>
      </c>
      <c r="B232" s="1">
        <v>45243</v>
      </c>
      <c r="D232">
        <v>39</v>
      </c>
      <c r="E232" t="s">
        <v>15</v>
      </c>
      <c r="F232" t="s">
        <v>22</v>
      </c>
      <c r="G232" t="s">
        <v>18</v>
      </c>
      <c r="H232">
        <v>18377</v>
      </c>
      <c r="I232">
        <v>23</v>
      </c>
      <c r="J232">
        <v>40</v>
      </c>
      <c r="K232">
        <f t="shared" si="9"/>
        <v>0</v>
      </c>
      <c r="L232" s="4">
        <f t="shared" ca="1" si="10"/>
        <v>29</v>
      </c>
      <c r="M232" t="str">
        <f t="shared" si="11"/>
        <v>Nov-2023</v>
      </c>
      <c r="N232" t="s">
        <v>23</v>
      </c>
    </row>
    <row r="233" spans="1:14" x14ac:dyDescent="0.25">
      <c r="A233" t="s">
        <v>261</v>
      </c>
      <c r="B233" s="1">
        <v>45837</v>
      </c>
      <c r="D233">
        <v>59</v>
      </c>
      <c r="E233" t="s">
        <v>12</v>
      </c>
      <c r="F233" t="s">
        <v>27</v>
      </c>
      <c r="G233" t="s">
        <v>30</v>
      </c>
      <c r="H233">
        <v>2996</v>
      </c>
      <c r="I233">
        <v>4</v>
      </c>
      <c r="J233">
        <v>68</v>
      </c>
      <c r="K233">
        <f t="shared" si="9"/>
        <v>0</v>
      </c>
      <c r="L233" s="4">
        <f t="shared" ca="1" si="10"/>
        <v>9</v>
      </c>
      <c r="M233" t="str">
        <f t="shared" si="11"/>
        <v>Jun-2025</v>
      </c>
      <c r="N233" t="s">
        <v>19</v>
      </c>
    </row>
    <row r="234" spans="1:14" x14ac:dyDescent="0.25">
      <c r="A234" t="s">
        <v>262</v>
      </c>
      <c r="B234" s="1">
        <v>45351</v>
      </c>
      <c r="D234">
        <v>22</v>
      </c>
      <c r="E234" t="s">
        <v>21</v>
      </c>
      <c r="F234" t="s">
        <v>29</v>
      </c>
      <c r="G234" t="s">
        <v>18</v>
      </c>
      <c r="H234">
        <v>15980</v>
      </c>
      <c r="I234">
        <v>20</v>
      </c>
      <c r="J234">
        <v>59</v>
      </c>
      <c r="K234">
        <f t="shared" si="9"/>
        <v>0</v>
      </c>
      <c r="L234" s="4">
        <f t="shared" ca="1" si="10"/>
        <v>25</v>
      </c>
      <c r="M234" t="str">
        <f t="shared" si="11"/>
        <v>Feb-2024</v>
      </c>
      <c r="N234" t="s">
        <v>19</v>
      </c>
    </row>
    <row r="235" spans="1:14" x14ac:dyDescent="0.25">
      <c r="A235" t="s">
        <v>263</v>
      </c>
      <c r="B235" s="1">
        <v>45374</v>
      </c>
      <c r="D235">
        <v>50</v>
      </c>
      <c r="E235" t="s">
        <v>21</v>
      </c>
      <c r="F235" t="s">
        <v>27</v>
      </c>
      <c r="G235" t="s">
        <v>14</v>
      </c>
      <c r="H235">
        <v>13281</v>
      </c>
      <c r="I235">
        <v>19</v>
      </c>
      <c r="J235">
        <v>33</v>
      </c>
      <c r="K235">
        <f t="shared" si="9"/>
        <v>0</v>
      </c>
      <c r="L235" s="4">
        <f t="shared" ca="1" si="10"/>
        <v>25</v>
      </c>
      <c r="M235" t="str">
        <f t="shared" si="11"/>
        <v>Mar-2024</v>
      </c>
      <c r="N235" t="s">
        <v>23</v>
      </c>
    </row>
    <row r="236" spans="1:14" x14ac:dyDescent="0.25">
      <c r="A236" t="s">
        <v>264</v>
      </c>
      <c r="B236" s="1">
        <v>45740</v>
      </c>
      <c r="D236">
        <v>31</v>
      </c>
      <c r="E236" t="s">
        <v>21</v>
      </c>
      <c r="F236" t="s">
        <v>38</v>
      </c>
      <c r="G236" t="s">
        <v>18</v>
      </c>
      <c r="H236">
        <v>5593</v>
      </c>
      <c r="I236">
        <v>7</v>
      </c>
      <c r="J236">
        <v>47</v>
      </c>
      <c r="K236">
        <f t="shared" si="9"/>
        <v>0</v>
      </c>
      <c r="L236" s="4">
        <f t="shared" ca="1" si="10"/>
        <v>12</v>
      </c>
      <c r="M236" t="str">
        <f t="shared" si="11"/>
        <v>Mar-2025</v>
      </c>
      <c r="N236" t="s">
        <v>19</v>
      </c>
    </row>
    <row r="237" spans="1:14" x14ac:dyDescent="0.25">
      <c r="A237" t="s">
        <v>265</v>
      </c>
      <c r="B237" s="1">
        <v>45916</v>
      </c>
      <c r="D237">
        <v>23</v>
      </c>
      <c r="E237" t="s">
        <v>21</v>
      </c>
      <c r="F237" t="s">
        <v>38</v>
      </c>
      <c r="G237" t="s">
        <v>14</v>
      </c>
      <c r="H237">
        <v>699</v>
      </c>
      <c r="I237">
        <v>1</v>
      </c>
      <c r="J237">
        <v>57</v>
      </c>
      <c r="K237">
        <f t="shared" si="9"/>
        <v>0</v>
      </c>
      <c r="L237" s="4">
        <f t="shared" ca="1" si="10"/>
        <v>7</v>
      </c>
      <c r="M237" t="str">
        <f t="shared" si="11"/>
        <v>Sep-2025</v>
      </c>
      <c r="N237" t="s">
        <v>19</v>
      </c>
    </row>
    <row r="238" spans="1:14" x14ac:dyDescent="0.25">
      <c r="A238" t="s">
        <v>266</v>
      </c>
      <c r="B238" s="1">
        <v>45727</v>
      </c>
      <c r="D238">
        <v>54</v>
      </c>
      <c r="E238" t="s">
        <v>21</v>
      </c>
      <c r="F238" t="s">
        <v>29</v>
      </c>
      <c r="G238" t="s">
        <v>18</v>
      </c>
      <c r="H238">
        <v>5593</v>
      </c>
      <c r="I238">
        <v>7</v>
      </c>
      <c r="J238">
        <v>94</v>
      </c>
      <c r="K238">
        <f t="shared" si="9"/>
        <v>0</v>
      </c>
      <c r="L238" s="4">
        <f t="shared" ca="1" si="10"/>
        <v>13</v>
      </c>
      <c r="M238" t="str">
        <f t="shared" si="11"/>
        <v>Mar-2025</v>
      </c>
      <c r="N238" t="s">
        <v>19</v>
      </c>
    </row>
    <row r="239" spans="1:14" x14ac:dyDescent="0.25">
      <c r="A239" t="s">
        <v>267</v>
      </c>
      <c r="B239" s="1">
        <v>45283</v>
      </c>
      <c r="D239">
        <v>56</v>
      </c>
      <c r="E239" t="s">
        <v>21</v>
      </c>
      <c r="F239" t="s">
        <v>41</v>
      </c>
      <c r="G239" t="s">
        <v>18</v>
      </c>
      <c r="H239">
        <v>17578</v>
      </c>
      <c r="I239">
        <v>22</v>
      </c>
      <c r="J239">
        <v>61</v>
      </c>
      <c r="K239">
        <f t="shared" si="9"/>
        <v>0</v>
      </c>
      <c r="L239" s="4">
        <f t="shared" ca="1" si="10"/>
        <v>28</v>
      </c>
      <c r="M239" t="str">
        <f t="shared" si="11"/>
        <v>Dec-2023</v>
      </c>
      <c r="N239" t="s">
        <v>19</v>
      </c>
    </row>
    <row r="240" spans="1:14" x14ac:dyDescent="0.25">
      <c r="A240" t="s">
        <v>268</v>
      </c>
      <c r="B240" s="1">
        <v>45610</v>
      </c>
      <c r="D240">
        <v>37</v>
      </c>
      <c r="E240" t="s">
        <v>12</v>
      </c>
      <c r="F240" t="s">
        <v>41</v>
      </c>
      <c r="G240" t="s">
        <v>18</v>
      </c>
      <c r="H240">
        <v>8789</v>
      </c>
      <c r="I240">
        <v>11</v>
      </c>
      <c r="J240">
        <v>64</v>
      </c>
      <c r="K240">
        <f t="shared" si="9"/>
        <v>0</v>
      </c>
      <c r="L240" s="4">
        <f t="shared" ca="1" si="10"/>
        <v>17</v>
      </c>
      <c r="M240" t="str">
        <f t="shared" si="11"/>
        <v>Nov-2024</v>
      </c>
      <c r="N240" t="s">
        <v>19</v>
      </c>
    </row>
    <row r="241" spans="1:14" x14ac:dyDescent="0.25">
      <c r="A241" t="s">
        <v>269</v>
      </c>
      <c r="B241" s="1">
        <v>45808</v>
      </c>
      <c r="D241">
        <v>45</v>
      </c>
      <c r="E241" t="s">
        <v>21</v>
      </c>
      <c r="F241" t="s">
        <v>27</v>
      </c>
      <c r="G241" t="s">
        <v>18</v>
      </c>
      <c r="H241">
        <v>3995</v>
      </c>
      <c r="I241">
        <v>5</v>
      </c>
      <c r="J241">
        <v>78</v>
      </c>
      <c r="K241">
        <f t="shared" si="9"/>
        <v>0</v>
      </c>
      <c r="L241" s="4">
        <f t="shared" ca="1" si="10"/>
        <v>10</v>
      </c>
      <c r="M241" t="str">
        <f t="shared" si="11"/>
        <v>May-2025</v>
      </c>
      <c r="N241" t="s">
        <v>19</v>
      </c>
    </row>
    <row r="242" spans="1:14" x14ac:dyDescent="0.25">
      <c r="A242" t="s">
        <v>270</v>
      </c>
      <c r="B242" s="1">
        <v>45881</v>
      </c>
      <c r="D242">
        <v>41</v>
      </c>
      <c r="E242" t="s">
        <v>12</v>
      </c>
      <c r="F242" t="s">
        <v>47</v>
      </c>
      <c r="G242" t="s">
        <v>18</v>
      </c>
      <c r="H242">
        <v>1598</v>
      </c>
      <c r="I242">
        <v>2</v>
      </c>
      <c r="J242">
        <v>92</v>
      </c>
      <c r="K242">
        <f t="shared" si="9"/>
        <v>0</v>
      </c>
      <c r="L242" s="4">
        <f t="shared" ca="1" si="10"/>
        <v>8</v>
      </c>
      <c r="M242" t="str">
        <f t="shared" si="11"/>
        <v>Aug-2025</v>
      </c>
      <c r="N242" t="s">
        <v>19</v>
      </c>
    </row>
    <row r="243" spans="1:14" x14ac:dyDescent="0.25">
      <c r="A243" t="s">
        <v>271</v>
      </c>
      <c r="B243" s="1">
        <v>45347</v>
      </c>
      <c r="C243" s="1">
        <v>45557</v>
      </c>
      <c r="D243">
        <v>56</v>
      </c>
      <c r="E243" t="s">
        <v>12</v>
      </c>
      <c r="F243" t="s">
        <v>57</v>
      </c>
      <c r="G243" t="s">
        <v>18</v>
      </c>
      <c r="H243">
        <v>5593</v>
      </c>
      <c r="I243">
        <v>7</v>
      </c>
      <c r="J243">
        <v>80</v>
      </c>
      <c r="K243">
        <f t="shared" si="9"/>
        <v>1</v>
      </c>
      <c r="L243" s="4">
        <f t="shared" ca="1" si="10"/>
        <v>7</v>
      </c>
      <c r="M243" t="str">
        <f t="shared" si="11"/>
        <v>Feb-2024</v>
      </c>
      <c r="N243" t="s">
        <v>19</v>
      </c>
    </row>
    <row r="244" spans="1:14" x14ac:dyDescent="0.25">
      <c r="A244" t="s">
        <v>272</v>
      </c>
      <c r="B244" s="1">
        <v>45800</v>
      </c>
      <c r="D244">
        <v>43</v>
      </c>
      <c r="E244" t="s">
        <v>15</v>
      </c>
      <c r="F244" t="s">
        <v>17</v>
      </c>
      <c r="G244" t="s">
        <v>30</v>
      </c>
      <c r="H244">
        <v>3745</v>
      </c>
      <c r="I244">
        <v>5</v>
      </c>
      <c r="J244">
        <v>81</v>
      </c>
      <c r="K244">
        <f t="shared" si="9"/>
        <v>0</v>
      </c>
      <c r="L244" s="4">
        <f t="shared" ca="1" si="10"/>
        <v>10</v>
      </c>
      <c r="M244" t="str">
        <f t="shared" si="11"/>
        <v>May-2025</v>
      </c>
      <c r="N244" t="s">
        <v>15</v>
      </c>
    </row>
    <row r="245" spans="1:14" x14ac:dyDescent="0.25">
      <c r="A245" t="s">
        <v>273</v>
      </c>
      <c r="B245" s="1">
        <v>45780</v>
      </c>
      <c r="D245">
        <v>53</v>
      </c>
      <c r="E245" t="s">
        <v>21</v>
      </c>
      <c r="F245" t="s">
        <v>41</v>
      </c>
      <c r="G245" t="s">
        <v>18</v>
      </c>
      <c r="H245">
        <v>4794</v>
      </c>
      <c r="I245">
        <v>6</v>
      </c>
      <c r="J245">
        <v>47</v>
      </c>
      <c r="K245">
        <f t="shared" si="9"/>
        <v>0</v>
      </c>
      <c r="L245" s="4">
        <f t="shared" ca="1" si="10"/>
        <v>11</v>
      </c>
      <c r="M245" t="str">
        <f t="shared" si="11"/>
        <v>May-2025</v>
      </c>
      <c r="N245" t="s">
        <v>23</v>
      </c>
    </row>
    <row r="246" spans="1:14" x14ac:dyDescent="0.25">
      <c r="A246" t="s">
        <v>274</v>
      </c>
      <c r="B246" s="1">
        <v>45953</v>
      </c>
      <c r="D246">
        <v>56</v>
      </c>
      <c r="E246" t="s">
        <v>12</v>
      </c>
      <c r="F246" t="s">
        <v>27</v>
      </c>
      <c r="G246" t="s">
        <v>18</v>
      </c>
      <c r="H246">
        <v>799</v>
      </c>
      <c r="I246">
        <v>1</v>
      </c>
      <c r="J246">
        <v>46</v>
      </c>
      <c r="K246">
        <f t="shared" si="9"/>
        <v>0</v>
      </c>
      <c r="L246" s="4">
        <f t="shared" ca="1" si="10"/>
        <v>5</v>
      </c>
      <c r="M246" t="str">
        <f t="shared" si="11"/>
        <v>Oct-2025</v>
      </c>
      <c r="N246" t="s">
        <v>23</v>
      </c>
    </row>
    <row r="247" spans="1:14" x14ac:dyDescent="0.25">
      <c r="A247" t="s">
        <v>275</v>
      </c>
      <c r="B247" s="1">
        <v>45457</v>
      </c>
      <c r="D247">
        <v>31</v>
      </c>
      <c r="E247" t="s">
        <v>21</v>
      </c>
      <c r="F247" t="s">
        <v>29</v>
      </c>
      <c r="G247" t="s">
        <v>14</v>
      </c>
      <c r="H247">
        <v>11184</v>
      </c>
      <c r="I247">
        <v>16</v>
      </c>
      <c r="J247">
        <v>71</v>
      </c>
      <c r="K247">
        <f t="shared" si="9"/>
        <v>0</v>
      </c>
      <c r="L247" s="4">
        <f t="shared" ca="1" si="10"/>
        <v>22</v>
      </c>
      <c r="M247" t="str">
        <f t="shared" si="11"/>
        <v>Jun-2024</v>
      </c>
      <c r="N247" t="s">
        <v>19</v>
      </c>
    </row>
    <row r="248" spans="1:14" x14ac:dyDescent="0.25">
      <c r="A248" t="s">
        <v>276</v>
      </c>
      <c r="B248" s="1">
        <v>44873</v>
      </c>
      <c r="D248">
        <v>52</v>
      </c>
      <c r="E248" t="s">
        <v>12</v>
      </c>
      <c r="F248" t="s">
        <v>29</v>
      </c>
      <c r="G248" t="s">
        <v>14</v>
      </c>
      <c r="H248">
        <v>25164</v>
      </c>
      <c r="I248">
        <v>36</v>
      </c>
      <c r="J248">
        <v>82</v>
      </c>
      <c r="K248">
        <f t="shared" si="9"/>
        <v>0</v>
      </c>
      <c r="L248" s="4">
        <f t="shared" ca="1" si="10"/>
        <v>41</v>
      </c>
      <c r="M248" t="str">
        <f t="shared" si="11"/>
        <v>Nov-2022</v>
      </c>
      <c r="N248" t="s">
        <v>23</v>
      </c>
    </row>
    <row r="249" spans="1:14" x14ac:dyDescent="0.25">
      <c r="A249" t="s">
        <v>277</v>
      </c>
      <c r="B249" s="1">
        <v>45768</v>
      </c>
      <c r="D249">
        <v>26</v>
      </c>
      <c r="E249" t="s">
        <v>12</v>
      </c>
      <c r="F249" t="s">
        <v>17</v>
      </c>
      <c r="G249" t="s">
        <v>18</v>
      </c>
      <c r="H249">
        <v>4794</v>
      </c>
      <c r="I249">
        <v>6</v>
      </c>
      <c r="J249">
        <v>63</v>
      </c>
      <c r="K249">
        <f t="shared" si="9"/>
        <v>0</v>
      </c>
      <c r="L249" s="4">
        <f t="shared" ca="1" si="10"/>
        <v>11</v>
      </c>
      <c r="M249" t="str">
        <f t="shared" si="11"/>
        <v>Apr-2025</v>
      </c>
      <c r="N249" t="s">
        <v>19</v>
      </c>
    </row>
    <row r="250" spans="1:14" x14ac:dyDescent="0.25">
      <c r="A250" t="s">
        <v>278</v>
      </c>
      <c r="B250" s="1">
        <v>44964</v>
      </c>
      <c r="C250" s="1">
        <v>45114</v>
      </c>
      <c r="D250">
        <v>27</v>
      </c>
      <c r="E250" t="s">
        <v>21</v>
      </c>
      <c r="F250" t="s">
        <v>29</v>
      </c>
      <c r="G250" t="s">
        <v>18</v>
      </c>
      <c r="H250">
        <v>3995</v>
      </c>
      <c r="I250">
        <v>5</v>
      </c>
      <c r="J250">
        <v>50</v>
      </c>
      <c r="K250">
        <f t="shared" si="9"/>
        <v>1</v>
      </c>
      <c r="L250" s="4">
        <f t="shared" ca="1" si="10"/>
        <v>5</v>
      </c>
      <c r="M250" t="str">
        <f t="shared" si="11"/>
        <v>Feb-2023</v>
      </c>
      <c r="N250" t="s">
        <v>19</v>
      </c>
    </row>
    <row r="251" spans="1:14" x14ac:dyDescent="0.25">
      <c r="A251" t="s">
        <v>279</v>
      </c>
      <c r="B251" s="1">
        <v>45878</v>
      </c>
      <c r="D251">
        <v>46</v>
      </c>
      <c r="E251" t="s">
        <v>12</v>
      </c>
      <c r="F251" t="s">
        <v>47</v>
      </c>
      <c r="G251" t="s">
        <v>14</v>
      </c>
      <c r="H251">
        <v>1398</v>
      </c>
      <c r="I251">
        <v>2</v>
      </c>
      <c r="J251">
        <v>91</v>
      </c>
      <c r="K251">
        <f t="shared" si="9"/>
        <v>0</v>
      </c>
      <c r="L251" s="4">
        <f t="shared" ca="1" si="10"/>
        <v>8</v>
      </c>
      <c r="M251" t="str">
        <f t="shared" si="11"/>
        <v>Aug-2025</v>
      </c>
      <c r="N251" t="s">
        <v>23</v>
      </c>
    </row>
    <row r="252" spans="1:14" x14ac:dyDescent="0.25">
      <c r="A252" t="s">
        <v>280</v>
      </c>
      <c r="B252" s="1">
        <v>44973</v>
      </c>
      <c r="C252" s="1">
        <v>45363</v>
      </c>
      <c r="D252">
        <v>54</v>
      </c>
      <c r="E252" t="s">
        <v>12</v>
      </c>
      <c r="F252" t="s">
        <v>57</v>
      </c>
      <c r="G252" t="s">
        <v>18</v>
      </c>
      <c r="H252">
        <v>10387</v>
      </c>
      <c r="I252">
        <v>13</v>
      </c>
      <c r="J252">
        <v>18</v>
      </c>
      <c r="K252">
        <f t="shared" si="9"/>
        <v>1</v>
      </c>
      <c r="L252" s="4">
        <f t="shared" ca="1" si="10"/>
        <v>13</v>
      </c>
      <c r="M252" t="str">
        <f t="shared" si="11"/>
        <v>Feb-2023</v>
      </c>
      <c r="N252" t="s">
        <v>19</v>
      </c>
    </row>
    <row r="253" spans="1:14" x14ac:dyDescent="0.25">
      <c r="A253" t="s">
        <v>281</v>
      </c>
      <c r="B253" s="1">
        <v>45652</v>
      </c>
      <c r="D253">
        <v>54</v>
      </c>
      <c r="E253" t="s">
        <v>15</v>
      </c>
      <c r="F253" t="s">
        <v>57</v>
      </c>
      <c r="G253" t="s">
        <v>18</v>
      </c>
      <c r="H253">
        <v>7990</v>
      </c>
      <c r="I253">
        <v>10</v>
      </c>
      <c r="J253">
        <v>20</v>
      </c>
      <c r="K253">
        <f t="shared" si="9"/>
        <v>0</v>
      </c>
      <c r="L253" s="4">
        <f t="shared" ca="1" si="10"/>
        <v>15</v>
      </c>
      <c r="M253" t="str">
        <f t="shared" si="11"/>
        <v>Dec-2024</v>
      </c>
      <c r="N253" t="s">
        <v>25</v>
      </c>
    </row>
    <row r="254" spans="1:14" x14ac:dyDescent="0.25">
      <c r="A254" t="s">
        <v>282</v>
      </c>
      <c r="B254" s="1">
        <v>44910</v>
      </c>
      <c r="D254">
        <v>45</v>
      </c>
      <c r="E254" t="s">
        <v>12</v>
      </c>
      <c r="F254" t="s">
        <v>41</v>
      </c>
      <c r="G254" t="s">
        <v>14</v>
      </c>
      <c r="H254">
        <v>24465</v>
      </c>
      <c r="I254">
        <v>35</v>
      </c>
      <c r="J254">
        <v>38</v>
      </c>
      <c r="K254">
        <f t="shared" si="9"/>
        <v>0</v>
      </c>
      <c r="L254" s="4">
        <f t="shared" ca="1" si="10"/>
        <v>40</v>
      </c>
      <c r="M254" t="str">
        <f t="shared" si="11"/>
        <v>Dec-2022</v>
      </c>
      <c r="N254" t="s">
        <v>19</v>
      </c>
    </row>
    <row r="255" spans="1:14" x14ac:dyDescent="0.25">
      <c r="A255" t="s">
        <v>283</v>
      </c>
      <c r="B255" s="1">
        <v>45287</v>
      </c>
      <c r="D255">
        <v>32</v>
      </c>
      <c r="E255" t="s">
        <v>12</v>
      </c>
      <c r="F255" t="s">
        <v>57</v>
      </c>
      <c r="G255" t="s">
        <v>18</v>
      </c>
      <c r="H255">
        <v>17578</v>
      </c>
      <c r="I255">
        <v>22</v>
      </c>
      <c r="J255">
        <v>59</v>
      </c>
      <c r="K255">
        <f t="shared" si="9"/>
        <v>0</v>
      </c>
      <c r="L255" s="4">
        <f t="shared" ca="1" si="10"/>
        <v>27</v>
      </c>
      <c r="M255" t="str">
        <f t="shared" si="11"/>
        <v>Dec-2023</v>
      </c>
      <c r="N255" t="s">
        <v>19</v>
      </c>
    </row>
    <row r="256" spans="1:14" x14ac:dyDescent="0.25">
      <c r="A256" t="s">
        <v>284</v>
      </c>
      <c r="B256" s="1">
        <v>45665</v>
      </c>
      <c r="D256">
        <v>25</v>
      </c>
      <c r="E256" t="s">
        <v>12</v>
      </c>
      <c r="F256" t="s">
        <v>27</v>
      </c>
      <c r="G256" t="s">
        <v>18</v>
      </c>
      <c r="H256">
        <v>7191</v>
      </c>
      <c r="I256">
        <v>9</v>
      </c>
      <c r="J256">
        <v>72</v>
      </c>
      <c r="K256">
        <f t="shared" si="9"/>
        <v>0</v>
      </c>
      <c r="L256" s="4">
        <f t="shared" ca="1" si="10"/>
        <v>15</v>
      </c>
      <c r="M256" t="str">
        <f t="shared" si="11"/>
        <v>Jan-2025</v>
      </c>
      <c r="N256" t="s">
        <v>23</v>
      </c>
    </row>
    <row r="257" spans="1:14" x14ac:dyDescent="0.25">
      <c r="A257" t="s">
        <v>285</v>
      </c>
      <c r="B257" s="1">
        <v>45742</v>
      </c>
      <c r="D257">
        <v>57</v>
      </c>
      <c r="E257" t="s">
        <v>12</v>
      </c>
      <c r="F257" t="s">
        <v>41</v>
      </c>
      <c r="G257" t="s">
        <v>30</v>
      </c>
      <c r="H257">
        <v>5243</v>
      </c>
      <c r="I257">
        <v>7</v>
      </c>
      <c r="J257">
        <v>28</v>
      </c>
      <c r="K257">
        <f t="shared" si="9"/>
        <v>0</v>
      </c>
      <c r="L257" s="4">
        <f t="shared" ca="1" si="10"/>
        <v>12</v>
      </c>
      <c r="M257" t="str">
        <f t="shared" si="11"/>
        <v>Mar-2025</v>
      </c>
      <c r="N257" t="s">
        <v>23</v>
      </c>
    </row>
    <row r="258" spans="1:14" x14ac:dyDescent="0.25">
      <c r="A258" t="s">
        <v>286</v>
      </c>
      <c r="B258" s="1">
        <v>45759</v>
      </c>
      <c r="D258">
        <v>24</v>
      </c>
      <c r="E258" t="s">
        <v>21</v>
      </c>
      <c r="F258" t="s">
        <v>22</v>
      </c>
      <c r="G258" t="s">
        <v>18</v>
      </c>
      <c r="H258">
        <v>4794</v>
      </c>
      <c r="I258">
        <v>6</v>
      </c>
      <c r="J258">
        <v>37</v>
      </c>
      <c r="K258">
        <f t="shared" si="9"/>
        <v>0</v>
      </c>
      <c r="L258" s="4">
        <f t="shared" ca="1" si="10"/>
        <v>12</v>
      </c>
      <c r="M258" t="str">
        <f t="shared" si="11"/>
        <v>Apr-2025</v>
      </c>
      <c r="N258" t="s">
        <v>19</v>
      </c>
    </row>
    <row r="259" spans="1:14" x14ac:dyDescent="0.25">
      <c r="A259" t="s">
        <v>287</v>
      </c>
      <c r="B259" s="1">
        <v>44949</v>
      </c>
      <c r="D259">
        <v>34</v>
      </c>
      <c r="E259" t="s">
        <v>21</v>
      </c>
      <c r="F259" t="s">
        <v>32</v>
      </c>
      <c r="G259" t="s">
        <v>18</v>
      </c>
      <c r="H259">
        <v>26367</v>
      </c>
      <c r="I259">
        <v>33</v>
      </c>
      <c r="J259">
        <v>50</v>
      </c>
      <c r="K259">
        <f t="shared" ref="K259:K322" si="12">IF(ISBLANK(C259), 0, 1)</f>
        <v>0</v>
      </c>
      <c r="L259" s="4">
        <f t="shared" ref="L259:L322" ca="1" si="13">ROUNDUP(DATEDIF(B259, IF(ISBLANK(C259), TODAY(), C259), "d")/30, 0)</f>
        <v>39</v>
      </c>
      <c r="M259" t="str">
        <f t="shared" ref="M259:M322" si="14">TEXT(B259, "mmm-yyyy")</f>
        <v>Jan-2023</v>
      </c>
      <c r="N259" t="s">
        <v>15</v>
      </c>
    </row>
    <row r="260" spans="1:14" x14ac:dyDescent="0.25">
      <c r="A260" t="s">
        <v>288</v>
      </c>
      <c r="B260" s="1">
        <v>44962</v>
      </c>
      <c r="C260" s="1">
        <v>45142</v>
      </c>
      <c r="D260">
        <v>42</v>
      </c>
      <c r="E260" t="s">
        <v>12</v>
      </c>
      <c r="F260" t="s">
        <v>29</v>
      </c>
      <c r="G260" t="s">
        <v>18</v>
      </c>
      <c r="H260">
        <v>4794</v>
      </c>
      <c r="I260">
        <v>6</v>
      </c>
      <c r="J260">
        <v>56</v>
      </c>
      <c r="K260">
        <f t="shared" si="12"/>
        <v>1</v>
      </c>
      <c r="L260" s="4">
        <f t="shared" ca="1" si="13"/>
        <v>6</v>
      </c>
      <c r="M260" t="str">
        <f t="shared" si="14"/>
        <v>Feb-2023</v>
      </c>
      <c r="N260" t="s">
        <v>19</v>
      </c>
    </row>
    <row r="261" spans="1:14" x14ac:dyDescent="0.25">
      <c r="A261" t="s">
        <v>289</v>
      </c>
      <c r="B261" s="1">
        <v>44966</v>
      </c>
      <c r="D261">
        <v>31</v>
      </c>
      <c r="E261" t="s">
        <v>12</v>
      </c>
      <c r="F261" t="s">
        <v>38</v>
      </c>
      <c r="G261" t="s">
        <v>14</v>
      </c>
      <c r="H261">
        <v>23067</v>
      </c>
      <c r="I261">
        <v>33</v>
      </c>
      <c r="J261">
        <v>49</v>
      </c>
      <c r="K261">
        <f t="shared" si="12"/>
        <v>0</v>
      </c>
      <c r="L261" s="4">
        <f t="shared" ca="1" si="13"/>
        <v>38</v>
      </c>
      <c r="M261" t="str">
        <f t="shared" si="14"/>
        <v>Feb-2023</v>
      </c>
      <c r="N261" t="s">
        <v>19</v>
      </c>
    </row>
    <row r="262" spans="1:14" x14ac:dyDescent="0.25">
      <c r="A262" t="s">
        <v>290</v>
      </c>
      <c r="B262" s="1">
        <v>45221</v>
      </c>
      <c r="D262">
        <v>21</v>
      </c>
      <c r="E262" t="s">
        <v>12</v>
      </c>
      <c r="F262" t="s">
        <v>13</v>
      </c>
      <c r="G262" t="s">
        <v>30</v>
      </c>
      <c r="H262">
        <v>17976</v>
      </c>
      <c r="I262">
        <v>24</v>
      </c>
      <c r="J262">
        <v>91</v>
      </c>
      <c r="K262">
        <f t="shared" si="12"/>
        <v>0</v>
      </c>
      <c r="L262" s="4">
        <f t="shared" ca="1" si="13"/>
        <v>30</v>
      </c>
      <c r="M262" t="str">
        <f t="shared" si="14"/>
        <v>Oct-2023</v>
      </c>
      <c r="N262" t="s">
        <v>19</v>
      </c>
    </row>
    <row r="263" spans="1:14" x14ac:dyDescent="0.25">
      <c r="A263" t="s">
        <v>291</v>
      </c>
      <c r="B263" s="1">
        <v>45151</v>
      </c>
      <c r="D263">
        <v>30</v>
      </c>
      <c r="E263" t="s">
        <v>15</v>
      </c>
      <c r="F263" t="s">
        <v>38</v>
      </c>
      <c r="G263" t="s">
        <v>18</v>
      </c>
      <c r="H263">
        <v>21573</v>
      </c>
      <c r="I263">
        <v>27</v>
      </c>
      <c r="J263">
        <v>46</v>
      </c>
      <c r="K263">
        <f t="shared" si="12"/>
        <v>0</v>
      </c>
      <c r="L263" s="4">
        <f t="shared" ca="1" si="13"/>
        <v>32</v>
      </c>
      <c r="M263" t="str">
        <f t="shared" si="14"/>
        <v>Aug-2023</v>
      </c>
      <c r="N263" t="s">
        <v>23</v>
      </c>
    </row>
    <row r="264" spans="1:14" x14ac:dyDescent="0.25">
      <c r="A264" t="s">
        <v>292</v>
      </c>
      <c r="B264" s="1">
        <v>45943</v>
      </c>
      <c r="C264" s="1">
        <v>45962</v>
      </c>
      <c r="D264">
        <v>48</v>
      </c>
      <c r="E264" t="s">
        <v>12</v>
      </c>
      <c r="F264" t="s">
        <v>57</v>
      </c>
      <c r="G264" t="s">
        <v>14</v>
      </c>
      <c r="H264">
        <v>699</v>
      </c>
      <c r="I264">
        <v>1</v>
      </c>
      <c r="J264">
        <v>79</v>
      </c>
      <c r="K264">
        <f t="shared" si="12"/>
        <v>1</v>
      </c>
      <c r="L264" s="4">
        <f t="shared" ca="1" si="13"/>
        <v>1</v>
      </c>
      <c r="M264" t="str">
        <f t="shared" si="14"/>
        <v>Oct-2025</v>
      </c>
      <c r="N264" t="s">
        <v>23</v>
      </c>
    </row>
    <row r="265" spans="1:14" x14ac:dyDescent="0.25">
      <c r="A265" t="s">
        <v>293</v>
      </c>
      <c r="B265" s="1">
        <v>45263</v>
      </c>
      <c r="D265">
        <v>18</v>
      </c>
      <c r="E265" t="s">
        <v>12</v>
      </c>
      <c r="F265" t="s">
        <v>27</v>
      </c>
      <c r="G265" t="s">
        <v>18</v>
      </c>
      <c r="H265">
        <v>18377</v>
      </c>
      <c r="I265">
        <v>23</v>
      </c>
      <c r="J265">
        <v>76</v>
      </c>
      <c r="K265">
        <f t="shared" si="12"/>
        <v>0</v>
      </c>
      <c r="L265" s="4">
        <f t="shared" ca="1" si="13"/>
        <v>28</v>
      </c>
      <c r="M265" t="str">
        <f t="shared" si="14"/>
        <v>Dec-2023</v>
      </c>
      <c r="N265" t="s">
        <v>19</v>
      </c>
    </row>
    <row r="266" spans="1:14" x14ac:dyDescent="0.25">
      <c r="A266" t="s">
        <v>294</v>
      </c>
      <c r="B266" s="1">
        <v>45160</v>
      </c>
      <c r="D266">
        <v>39</v>
      </c>
      <c r="E266" t="s">
        <v>12</v>
      </c>
      <c r="F266" t="s">
        <v>47</v>
      </c>
      <c r="G266" t="s">
        <v>18</v>
      </c>
      <c r="H266">
        <v>20774</v>
      </c>
      <c r="I266">
        <v>26</v>
      </c>
      <c r="J266">
        <v>79</v>
      </c>
      <c r="K266">
        <f t="shared" si="12"/>
        <v>0</v>
      </c>
      <c r="L266" s="4">
        <f t="shared" ca="1" si="13"/>
        <v>32</v>
      </c>
      <c r="M266" t="str">
        <f t="shared" si="14"/>
        <v>Aug-2023</v>
      </c>
      <c r="N266" t="s">
        <v>23</v>
      </c>
    </row>
    <row r="267" spans="1:14" x14ac:dyDescent="0.25">
      <c r="A267" t="s">
        <v>295</v>
      </c>
      <c r="B267" s="1">
        <v>45316</v>
      </c>
      <c r="D267">
        <v>35</v>
      </c>
      <c r="E267" t="s">
        <v>21</v>
      </c>
      <c r="F267" t="s">
        <v>22</v>
      </c>
      <c r="G267" t="s">
        <v>30</v>
      </c>
      <c r="H267">
        <v>15729</v>
      </c>
      <c r="I267">
        <v>21</v>
      </c>
      <c r="J267">
        <v>60</v>
      </c>
      <c r="K267">
        <f t="shared" si="12"/>
        <v>0</v>
      </c>
      <c r="L267" s="4">
        <f t="shared" ca="1" si="13"/>
        <v>27</v>
      </c>
      <c r="M267" t="str">
        <f t="shared" si="14"/>
        <v>Jan-2024</v>
      </c>
      <c r="N267" t="s">
        <v>23</v>
      </c>
    </row>
    <row r="268" spans="1:14" x14ac:dyDescent="0.25">
      <c r="A268" t="s">
        <v>296</v>
      </c>
      <c r="B268" s="1">
        <v>45696</v>
      </c>
      <c r="D268">
        <v>26</v>
      </c>
      <c r="E268" t="s">
        <v>21</v>
      </c>
      <c r="F268" t="s">
        <v>22</v>
      </c>
      <c r="G268" t="s">
        <v>30</v>
      </c>
      <c r="H268">
        <v>5992</v>
      </c>
      <c r="I268">
        <v>8</v>
      </c>
      <c r="J268">
        <v>38</v>
      </c>
      <c r="K268">
        <f t="shared" si="12"/>
        <v>0</v>
      </c>
      <c r="L268" s="4">
        <f t="shared" ca="1" si="13"/>
        <v>14</v>
      </c>
      <c r="M268" t="str">
        <f t="shared" si="14"/>
        <v>Feb-2025</v>
      </c>
      <c r="N268" t="s">
        <v>19</v>
      </c>
    </row>
    <row r="269" spans="1:14" x14ac:dyDescent="0.25">
      <c r="A269" t="s">
        <v>297</v>
      </c>
      <c r="B269" s="1">
        <v>44919</v>
      </c>
      <c r="D269">
        <v>21</v>
      </c>
      <c r="E269" t="s">
        <v>21</v>
      </c>
      <c r="F269" t="s">
        <v>41</v>
      </c>
      <c r="G269" t="s">
        <v>30</v>
      </c>
      <c r="H269">
        <v>25466</v>
      </c>
      <c r="I269">
        <v>34</v>
      </c>
      <c r="J269">
        <v>42</v>
      </c>
      <c r="K269">
        <f t="shared" si="12"/>
        <v>0</v>
      </c>
      <c r="L269" s="4">
        <f t="shared" ca="1" si="13"/>
        <v>40</v>
      </c>
      <c r="M269" t="str">
        <f t="shared" si="14"/>
        <v>Dec-2022</v>
      </c>
      <c r="N269" t="s">
        <v>15</v>
      </c>
    </row>
    <row r="270" spans="1:14" x14ac:dyDescent="0.25">
      <c r="A270" t="s">
        <v>298</v>
      </c>
      <c r="B270" s="1">
        <v>45138</v>
      </c>
      <c r="D270">
        <v>19</v>
      </c>
      <c r="E270" t="s">
        <v>12</v>
      </c>
      <c r="F270" t="s">
        <v>17</v>
      </c>
      <c r="G270" t="s">
        <v>18</v>
      </c>
      <c r="H270">
        <v>21573</v>
      </c>
      <c r="I270">
        <v>27</v>
      </c>
      <c r="J270">
        <v>98</v>
      </c>
      <c r="K270">
        <f t="shared" si="12"/>
        <v>0</v>
      </c>
      <c r="L270" s="4">
        <f t="shared" ca="1" si="13"/>
        <v>32</v>
      </c>
      <c r="M270" t="str">
        <f t="shared" si="14"/>
        <v>Jul-2023</v>
      </c>
      <c r="N270" t="s">
        <v>23</v>
      </c>
    </row>
    <row r="271" spans="1:14" x14ac:dyDescent="0.25">
      <c r="A271" t="s">
        <v>299</v>
      </c>
      <c r="B271" s="1">
        <v>45517</v>
      </c>
      <c r="D271">
        <v>50</v>
      </c>
      <c r="E271" t="s">
        <v>21</v>
      </c>
      <c r="F271" t="s">
        <v>41</v>
      </c>
      <c r="G271" t="s">
        <v>18</v>
      </c>
      <c r="H271">
        <v>11186</v>
      </c>
      <c r="I271">
        <v>14</v>
      </c>
      <c r="J271">
        <v>20</v>
      </c>
      <c r="K271">
        <f t="shared" si="12"/>
        <v>0</v>
      </c>
      <c r="L271" s="4">
        <f t="shared" ca="1" si="13"/>
        <v>20</v>
      </c>
      <c r="M271" t="str">
        <f t="shared" si="14"/>
        <v>Aug-2024</v>
      </c>
      <c r="N271" t="s">
        <v>25</v>
      </c>
    </row>
    <row r="272" spans="1:14" x14ac:dyDescent="0.25">
      <c r="A272" t="s">
        <v>300</v>
      </c>
      <c r="B272" s="1">
        <v>45702</v>
      </c>
      <c r="D272">
        <v>45</v>
      </c>
      <c r="E272" t="s">
        <v>21</v>
      </c>
      <c r="F272" t="s">
        <v>22</v>
      </c>
      <c r="G272" t="s">
        <v>30</v>
      </c>
      <c r="H272">
        <v>5992</v>
      </c>
      <c r="I272">
        <v>8</v>
      </c>
      <c r="J272">
        <v>40</v>
      </c>
      <c r="K272">
        <f t="shared" si="12"/>
        <v>0</v>
      </c>
      <c r="L272" s="4">
        <f t="shared" ca="1" si="13"/>
        <v>14</v>
      </c>
      <c r="M272" t="str">
        <f t="shared" si="14"/>
        <v>Feb-2025</v>
      </c>
      <c r="N272" t="s">
        <v>23</v>
      </c>
    </row>
    <row r="273" spans="1:14" x14ac:dyDescent="0.25">
      <c r="A273" t="s">
        <v>301</v>
      </c>
      <c r="B273" s="1">
        <v>45737</v>
      </c>
      <c r="D273">
        <v>42</v>
      </c>
      <c r="E273" t="s">
        <v>12</v>
      </c>
      <c r="F273" t="s">
        <v>17</v>
      </c>
      <c r="G273" t="s">
        <v>14</v>
      </c>
      <c r="H273">
        <v>4893</v>
      </c>
      <c r="I273">
        <v>7</v>
      </c>
      <c r="J273">
        <v>49</v>
      </c>
      <c r="K273">
        <f t="shared" si="12"/>
        <v>0</v>
      </c>
      <c r="L273" s="4">
        <f t="shared" ca="1" si="13"/>
        <v>12</v>
      </c>
      <c r="M273" t="str">
        <f t="shared" si="14"/>
        <v>Mar-2025</v>
      </c>
      <c r="N273" t="s">
        <v>25</v>
      </c>
    </row>
    <row r="274" spans="1:14" x14ac:dyDescent="0.25">
      <c r="A274" t="s">
        <v>302</v>
      </c>
      <c r="B274" s="1">
        <v>45181</v>
      </c>
      <c r="D274">
        <v>43</v>
      </c>
      <c r="E274" t="s">
        <v>12</v>
      </c>
      <c r="F274" t="s">
        <v>13</v>
      </c>
      <c r="G274" t="s">
        <v>18</v>
      </c>
      <c r="H274">
        <v>20774</v>
      </c>
      <c r="I274">
        <v>26</v>
      </c>
      <c r="J274">
        <v>21</v>
      </c>
      <c r="K274">
        <f t="shared" si="12"/>
        <v>0</v>
      </c>
      <c r="L274" s="4">
        <f t="shared" ca="1" si="13"/>
        <v>31</v>
      </c>
      <c r="M274" t="str">
        <f t="shared" si="14"/>
        <v>Sep-2023</v>
      </c>
      <c r="N274" t="s">
        <v>23</v>
      </c>
    </row>
    <row r="275" spans="1:14" x14ac:dyDescent="0.25">
      <c r="A275" t="s">
        <v>303</v>
      </c>
      <c r="B275" s="1">
        <v>45597</v>
      </c>
      <c r="D275">
        <v>35</v>
      </c>
      <c r="E275" t="s">
        <v>21</v>
      </c>
      <c r="F275" t="s">
        <v>38</v>
      </c>
      <c r="G275" t="s">
        <v>18</v>
      </c>
      <c r="H275">
        <v>9588</v>
      </c>
      <c r="I275">
        <v>12</v>
      </c>
      <c r="J275">
        <v>49</v>
      </c>
      <c r="K275">
        <f t="shared" si="12"/>
        <v>0</v>
      </c>
      <c r="L275" s="4">
        <f t="shared" ca="1" si="13"/>
        <v>17</v>
      </c>
      <c r="M275" t="str">
        <f t="shared" si="14"/>
        <v>Nov-2024</v>
      </c>
      <c r="N275" t="s">
        <v>25</v>
      </c>
    </row>
    <row r="276" spans="1:14" x14ac:dyDescent="0.25">
      <c r="A276" t="s">
        <v>304</v>
      </c>
      <c r="B276" s="1">
        <v>44918</v>
      </c>
      <c r="C276" s="1">
        <v>44978</v>
      </c>
      <c r="D276">
        <v>39</v>
      </c>
      <c r="E276" t="s">
        <v>21</v>
      </c>
      <c r="F276" t="s">
        <v>29</v>
      </c>
      <c r="G276" t="s">
        <v>30</v>
      </c>
      <c r="H276">
        <v>1498</v>
      </c>
      <c r="I276">
        <v>2</v>
      </c>
      <c r="J276">
        <v>56</v>
      </c>
      <c r="K276">
        <f t="shared" si="12"/>
        <v>1</v>
      </c>
      <c r="L276" s="4">
        <f t="shared" ca="1" si="13"/>
        <v>2</v>
      </c>
      <c r="M276" t="str">
        <f t="shared" si="14"/>
        <v>Dec-2022</v>
      </c>
      <c r="N276" t="s">
        <v>23</v>
      </c>
    </row>
    <row r="277" spans="1:14" x14ac:dyDescent="0.25">
      <c r="A277" t="s">
        <v>305</v>
      </c>
      <c r="B277" s="1">
        <v>45779</v>
      </c>
      <c r="D277">
        <v>21</v>
      </c>
      <c r="E277" t="s">
        <v>12</v>
      </c>
      <c r="F277" t="s">
        <v>41</v>
      </c>
      <c r="G277" t="s">
        <v>30</v>
      </c>
      <c r="H277">
        <v>4494</v>
      </c>
      <c r="I277">
        <v>6</v>
      </c>
      <c r="J277">
        <v>45</v>
      </c>
      <c r="K277">
        <f t="shared" si="12"/>
        <v>0</v>
      </c>
      <c r="L277" s="4">
        <f t="shared" ca="1" si="13"/>
        <v>11</v>
      </c>
      <c r="M277" t="str">
        <f t="shared" si="14"/>
        <v>May-2025</v>
      </c>
      <c r="N277" t="s">
        <v>19</v>
      </c>
    </row>
    <row r="278" spans="1:14" x14ac:dyDescent="0.25">
      <c r="A278" t="s">
        <v>306</v>
      </c>
      <c r="B278" s="1">
        <v>45923</v>
      </c>
      <c r="D278">
        <v>33</v>
      </c>
      <c r="E278" t="s">
        <v>12</v>
      </c>
      <c r="F278" t="s">
        <v>29</v>
      </c>
      <c r="G278" t="s">
        <v>30</v>
      </c>
      <c r="H278">
        <v>749</v>
      </c>
      <c r="I278">
        <v>1</v>
      </c>
      <c r="J278">
        <v>74</v>
      </c>
      <c r="K278">
        <f t="shared" si="12"/>
        <v>0</v>
      </c>
      <c r="L278" s="4">
        <f t="shared" ca="1" si="13"/>
        <v>6</v>
      </c>
      <c r="M278" t="str">
        <f t="shared" si="14"/>
        <v>Sep-2025</v>
      </c>
      <c r="N278" t="s">
        <v>19</v>
      </c>
    </row>
    <row r="279" spans="1:14" x14ac:dyDescent="0.25">
      <c r="A279" t="s">
        <v>307</v>
      </c>
      <c r="B279" s="1">
        <v>45427</v>
      </c>
      <c r="D279">
        <v>43</v>
      </c>
      <c r="E279" t="s">
        <v>15</v>
      </c>
      <c r="F279" t="s">
        <v>27</v>
      </c>
      <c r="G279" t="s">
        <v>30</v>
      </c>
      <c r="H279">
        <v>12733</v>
      </c>
      <c r="I279">
        <v>17</v>
      </c>
      <c r="J279">
        <v>70</v>
      </c>
      <c r="K279">
        <f t="shared" si="12"/>
        <v>0</v>
      </c>
      <c r="L279" s="4">
        <f t="shared" ca="1" si="13"/>
        <v>23</v>
      </c>
      <c r="M279" t="str">
        <f t="shared" si="14"/>
        <v>May-2024</v>
      </c>
      <c r="N279" t="s">
        <v>19</v>
      </c>
    </row>
    <row r="280" spans="1:14" x14ac:dyDescent="0.25">
      <c r="A280" t="s">
        <v>308</v>
      </c>
      <c r="B280" s="1">
        <v>45411</v>
      </c>
      <c r="D280">
        <v>43</v>
      </c>
      <c r="E280" t="s">
        <v>12</v>
      </c>
      <c r="F280" t="s">
        <v>47</v>
      </c>
      <c r="G280" t="s">
        <v>30</v>
      </c>
      <c r="H280">
        <v>13482</v>
      </c>
      <c r="I280">
        <v>18</v>
      </c>
      <c r="J280">
        <v>52</v>
      </c>
      <c r="K280">
        <f t="shared" si="12"/>
        <v>0</v>
      </c>
      <c r="L280" s="4">
        <f t="shared" ca="1" si="13"/>
        <v>23</v>
      </c>
      <c r="M280" t="str">
        <f t="shared" si="14"/>
        <v>Apr-2024</v>
      </c>
      <c r="N280" t="s">
        <v>23</v>
      </c>
    </row>
    <row r="281" spans="1:14" x14ac:dyDescent="0.25">
      <c r="A281" t="s">
        <v>309</v>
      </c>
      <c r="B281" s="1">
        <v>45733</v>
      </c>
      <c r="C281" s="1">
        <v>45793</v>
      </c>
      <c r="D281">
        <v>54</v>
      </c>
      <c r="E281" t="s">
        <v>12</v>
      </c>
      <c r="F281" t="s">
        <v>17</v>
      </c>
      <c r="G281" t="s">
        <v>18</v>
      </c>
      <c r="H281">
        <v>1598</v>
      </c>
      <c r="I281">
        <v>2</v>
      </c>
      <c r="J281">
        <v>36</v>
      </c>
      <c r="K281">
        <f t="shared" si="12"/>
        <v>1</v>
      </c>
      <c r="L281" s="4">
        <f t="shared" ca="1" si="13"/>
        <v>2</v>
      </c>
      <c r="M281" t="str">
        <f t="shared" si="14"/>
        <v>Mar-2025</v>
      </c>
      <c r="N281" t="s">
        <v>23</v>
      </c>
    </row>
    <row r="282" spans="1:14" x14ac:dyDescent="0.25">
      <c r="A282" t="s">
        <v>310</v>
      </c>
      <c r="B282" s="1">
        <v>45124</v>
      </c>
      <c r="D282">
        <v>24</v>
      </c>
      <c r="E282" t="s">
        <v>21</v>
      </c>
      <c r="F282" t="s">
        <v>41</v>
      </c>
      <c r="G282" t="s">
        <v>30</v>
      </c>
      <c r="H282">
        <v>20223</v>
      </c>
      <c r="I282">
        <v>27</v>
      </c>
      <c r="J282">
        <v>50</v>
      </c>
      <c r="K282">
        <f t="shared" si="12"/>
        <v>0</v>
      </c>
      <c r="L282" s="4">
        <f t="shared" ca="1" si="13"/>
        <v>33</v>
      </c>
      <c r="M282" t="str">
        <f t="shared" si="14"/>
        <v>Jul-2023</v>
      </c>
      <c r="N282" t="s">
        <v>19</v>
      </c>
    </row>
    <row r="283" spans="1:14" x14ac:dyDescent="0.25">
      <c r="A283" t="s">
        <v>311</v>
      </c>
      <c r="B283" s="1">
        <v>45250</v>
      </c>
      <c r="D283">
        <v>20</v>
      </c>
      <c r="E283" t="s">
        <v>21</v>
      </c>
      <c r="F283" t="s">
        <v>13</v>
      </c>
      <c r="G283" t="s">
        <v>18</v>
      </c>
      <c r="H283">
        <v>18377</v>
      </c>
      <c r="I283">
        <v>23</v>
      </c>
      <c r="J283">
        <v>68</v>
      </c>
      <c r="K283">
        <f t="shared" si="12"/>
        <v>0</v>
      </c>
      <c r="L283" s="4">
        <f t="shared" ca="1" si="13"/>
        <v>29</v>
      </c>
      <c r="M283" t="str">
        <f t="shared" si="14"/>
        <v>Nov-2023</v>
      </c>
      <c r="N283" t="s">
        <v>19</v>
      </c>
    </row>
    <row r="284" spans="1:14" x14ac:dyDescent="0.25">
      <c r="A284" t="s">
        <v>312</v>
      </c>
      <c r="B284" s="1">
        <v>45490</v>
      </c>
      <c r="C284" s="1">
        <v>45940</v>
      </c>
      <c r="D284">
        <v>60</v>
      </c>
      <c r="E284" t="s">
        <v>21</v>
      </c>
      <c r="F284" t="s">
        <v>41</v>
      </c>
      <c r="G284" t="s">
        <v>30</v>
      </c>
      <c r="H284">
        <v>11235</v>
      </c>
      <c r="I284">
        <v>15</v>
      </c>
      <c r="J284">
        <v>42</v>
      </c>
      <c r="K284">
        <f t="shared" si="12"/>
        <v>1</v>
      </c>
      <c r="L284" s="4">
        <f t="shared" ca="1" si="13"/>
        <v>15</v>
      </c>
      <c r="M284" t="str">
        <f t="shared" si="14"/>
        <v>Jul-2024</v>
      </c>
      <c r="N284" t="s">
        <v>19</v>
      </c>
    </row>
    <row r="285" spans="1:14" x14ac:dyDescent="0.25">
      <c r="A285" t="s">
        <v>313</v>
      </c>
      <c r="B285" s="1">
        <v>45091</v>
      </c>
      <c r="D285">
        <v>42</v>
      </c>
      <c r="E285" t="s">
        <v>21</v>
      </c>
      <c r="F285" t="s">
        <v>41</v>
      </c>
      <c r="G285" t="s">
        <v>14</v>
      </c>
      <c r="H285">
        <v>20271</v>
      </c>
      <c r="I285">
        <v>29</v>
      </c>
      <c r="J285">
        <v>86</v>
      </c>
      <c r="K285">
        <f t="shared" si="12"/>
        <v>0</v>
      </c>
      <c r="L285" s="4">
        <f t="shared" ca="1" si="13"/>
        <v>34</v>
      </c>
      <c r="M285" t="str">
        <f t="shared" si="14"/>
        <v>Jun-2023</v>
      </c>
      <c r="N285" t="s">
        <v>15</v>
      </c>
    </row>
    <row r="286" spans="1:14" x14ac:dyDescent="0.25">
      <c r="A286" t="s">
        <v>314</v>
      </c>
      <c r="B286" s="1">
        <v>45947</v>
      </c>
      <c r="D286">
        <v>49</v>
      </c>
      <c r="E286" t="s">
        <v>21</v>
      </c>
      <c r="F286" t="s">
        <v>13</v>
      </c>
      <c r="G286" t="s">
        <v>14</v>
      </c>
      <c r="H286">
        <v>699</v>
      </c>
      <c r="I286">
        <v>1</v>
      </c>
      <c r="J286">
        <v>22</v>
      </c>
      <c r="K286">
        <f t="shared" si="12"/>
        <v>0</v>
      </c>
      <c r="L286" s="4">
        <f t="shared" ca="1" si="13"/>
        <v>5</v>
      </c>
      <c r="M286" t="str">
        <f t="shared" si="14"/>
        <v>Oct-2025</v>
      </c>
      <c r="N286" t="s">
        <v>15</v>
      </c>
    </row>
    <row r="287" spans="1:14" x14ac:dyDescent="0.25">
      <c r="A287" t="s">
        <v>315</v>
      </c>
      <c r="B287" s="1">
        <v>45569</v>
      </c>
      <c r="D287">
        <v>60</v>
      </c>
      <c r="E287" t="s">
        <v>21</v>
      </c>
      <c r="F287" t="s">
        <v>41</v>
      </c>
      <c r="G287" t="s">
        <v>30</v>
      </c>
      <c r="H287">
        <v>9737</v>
      </c>
      <c r="I287">
        <v>13</v>
      </c>
      <c r="J287">
        <v>76</v>
      </c>
      <c r="K287">
        <f t="shared" si="12"/>
        <v>0</v>
      </c>
      <c r="L287" s="4">
        <f t="shared" ca="1" si="13"/>
        <v>18</v>
      </c>
      <c r="M287" t="str">
        <f t="shared" si="14"/>
        <v>Oct-2024</v>
      </c>
      <c r="N287" t="s">
        <v>19</v>
      </c>
    </row>
    <row r="288" spans="1:14" x14ac:dyDescent="0.25">
      <c r="A288" t="s">
        <v>316</v>
      </c>
      <c r="B288" s="1">
        <v>45417</v>
      </c>
      <c r="D288">
        <v>42</v>
      </c>
      <c r="E288" t="s">
        <v>12</v>
      </c>
      <c r="F288" t="s">
        <v>17</v>
      </c>
      <c r="G288" t="s">
        <v>18</v>
      </c>
      <c r="H288">
        <v>14382</v>
      </c>
      <c r="I288">
        <v>18</v>
      </c>
      <c r="J288">
        <v>86</v>
      </c>
      <c r="K288">
        <f t="shared" si="12"/>
        <v>0</v>
      </c>
      <c r="L288" s="4">
        <f t="shared" ca="1" si="13"/>
        <v>23</v>
      </c>
      <c r="M288" t="str">
        <f t="shared" si="14"/>
        <v>May-2024</v>
      </c>
      <c r="N288" t="s">
        <v>25</v>
      </c>
    </row>
    <row r="289" spans="1:14" x14ac:dyDescent="0.25">
      <c r="A289" t="s">
        <v>317</v>
      </c>
      <c r="B289" s="1">
        <v>45147</v>
      </c>
      <c r="C289" s="1">
        <v>45657</v>
      </c>
      <c r="D289">
        <v>36</v>
      </c>
      <c r="E289" t="s">
        <v>12</v>
      </c>
      <c r="F289" t="s">
        <v>32</v>
      </c>
      <c r="G289" t="s">
        <v>18</v>
      </c>
      <c r="H289">
        <v>13583</v>
      </c>
      <c r="I289">
        <v>17</v>
      </c>
      <c r="J289">
        <v>37</v>
      </c>
      <c r="K289">
        <f t="shared" si="12"/>
        <v>1</v>
      </c>
      <c r="L289" s="4">
        <f t="shared" ca="1" si="13"/>
        <v>17</v>
      </c>
      <c r="M289" t="str">
        <f t="shared" si="14"/>
        <v>Aug-2023</v>
      </c>
      <c r="N289" t="s">
        <v>19</v>
      </c>
    </row>
    <row r="290" spans="1:14" x14ac:dyDescent="0.25">
      <c r="A290" t="s">
        <v>318</v>
      </c>
      <c r="B290" s="1">
        <v>45734</v>
      </c>
      <c r="D290">
        <v>29</v>
      </c>
      <c r="E290" t="s">
        <v>12</v>
      </c>
      <c r="F290" t="s">
        <v>13</v>
      </c>
      <c r="G290" t="s">
        <v>18</v>
      </c>
      <c r="H290">
        <v>5593</v>
      </c>
      <c r="I290">
        <v>7</v>
      </c>
      <c r="J290">
        <v>56</v>
      </c>
      <c r="K290">
        <f t="shared" si="12"/>
        <v>0</v>
      </c>
      <c r="L290" s="4">
        <f t="shared" ca="1" si="13"/>
        <v>13</v>
      </c>
      <c r="M290" t="str">
        <f t="shared" si="14"/>
        <v>Mar-2025</v>
      </c>
      <c r="N290" t="s">
        <v>19</v>
      </c>
    </row>
    <row r="291" spans="1:14" x14ac:dyDescent="0.25">
      <c r="A291" t="s">
        <v>319</v>
      </c>
      <c r="B291" s="1">
        <v>45786</v>
      </c>
      <c r="D291">
        <v>43</v>
      </c>
      <c r="E291" t="s">
        <v>21</v>
      </c>
      <c r="F291" t="s">
        <v>13</v>
      </c>
      <c r="G291" t="s">
        <v>30</v>
      </c>
      <c r="H291">
        <v>3745</v>
      </c>
      <c r="I291">
        <v>5</v>
      </c>
      <c r="J291">
        <v>77</v>
      </c>
      <c r="K291">
        <f t="shared" si="12"/>
        <v>0</v>
      </c>
      <c r="L291" s="4">
        <f t="shared" ca="1" si="13"/>
        <v>11</v>
      </c>
      <c r="M291" t="str">
        <f t="shared" si="14"/>
        <v>May-2025</v>
      </c>
      <c r="N291" t="s">
        <v>19</v>
      </c>
    </row>
    <row r="292" spans="1:14" x14ac:dyDescent="0.25">
      <c r="A292" t="s">
        <v>320</v>
      </c>
      <c r="B292" s="1">
        <v>45231</v>
      </c>
      <c r="D292">
        <v>36</v>
      </c>
      <c r="E292" t="s">
        <v>21</v>
      </c>
      <c r="F292" t="s">
        <v>27</v>
      </c>
      <c r="G292" t="s">
        <v>30</v>
      </c>
      <c r="H292">
        <v>17976</v>
      </c>
      <c r="I292">
        <v>24</v>
      </c>
      <c r="J292">
        <v>65</v>
      </c>
      <c r="K292">
        <f t="shared" si="12"/>
        <v>0</v>
      </c>
      <c r="L292" s="4">
        <f t="shared" ca="1" si="13"/>
        <v>29</v>
      </c>
      <c r="M292" t="str">
        <f t="shared" si="14"/>
        <v>Nov-2023</v>
      </c>
      <c r="N292" t="s">
        <v>19</v>
      </c>
    </row>
    <row r="293" spans="1:14" x14ac:dyDescent="0.25">
      <c r="A293" t="s">
        <v>321</v>
      </c>
      <c r="B293" s="1">
        <v>45246</v>
      </c>
      <c r="D293">
        <v>38</v>
      </c>
      <c r="E293" t="s">
        <v>12</v>
      </c>
      <c r="F293" t="s">
        <v>13</v>
      </c>
      <c r="G293" t="s">
        <v>30</v>
      </c>
      <c r="H293">
        <v>17227</v>
      </c>
      <c r="I293">
        <v>23</v>
      </c>
      <c r="J293">
        <v>25</v>
      </c>
      <c r="K293">
        <f t="shared" si="12"/>
        <v>0</v>
      </c>
      <c r="L293" s="4">
        <f t="shared" ca="1" si="13"/>
        <v>29</v>
      </c>
      <c r="M293" t="str">
        <f t="shared" si="14"/>
        <v>Nov-2023</v>
      </c>
      <c r="N293" t="s">
        <v>19</v>
      </c>
    </row>
    <row r="294" spans="1:14" x14ac:dyDescent="0.25">
      <c r="A294" t="s">
        <v>322</v>
      </c>
      <c r="B294" s="1">
        <v>45794</v>
      </c>
      <c r="D294">
        <v>40</v>
      </c>
      <c r="E294" t="s">
        <v>21</v>
      </c>
      <c r="F294" t="s">
        <v>22</v>
      </c>
      <c r="G294" t="s">
        <v>18</v>
      </c>
      <c r="H294">
        <v>3995</v>
      </c>
      <c r="I294">
        <v>5</v>
      </c>
      <c r="J294">
        <v>80</v>
      </c>
      <c r="K294">
        <f t="shared" si="12"/>
        <v>0</v>
      </c>
      <c r="L294" s="4">
        <f t="shared" ca="1" si="13"/>
        <v>11</v>
      </c>
      <c r="M294" t="str">
        <f t="shared" si="14"/>
        <v>May-2025</v>
      </c>
      <c r="N294" t="s">
        <v>19</v>
      </c>
    </row>
    <row r="295" spans="1:14" x14ac:dyDescent="0.25">
      <c r="A295" t="s">
        <v>323</v>
      </c>
      <c r="B295" s="1">
        <v>45031</v>
      </c>
      <c r="D295">
        <v>38</v>
      </c>
      <c r="E295" t="s">
        <v>12</v>
      </c>
      <c r="F295" t="s">
        <v>41</v>
      </c>
      <c r="G295" t="s">
        <v>18</v>
      </c>
      <c r="H295">
        <v>24769</v>
      </c>
      <c r="I295">
        <v>31</v>
      </c>
      <c r="J295">
        <v>73</v>
      </c>
      <c r="K295">
        <f t="shared" si="12"/>
        <v>0</v>
      </c>
      <c r="L295" s="4">
        <f t="shared" ca="1" si="13"/>
        <v>36</v>
      </c>
      <c r="M295" t="str">
        <f t="shared" si="14"/>
        <v>Apr-2023</v>
      </c>
      <c r="N295" t="s">
        <v>19</v>
      </c>
    </row>
    <row r="296" spans="1:14" x14ac:dyDescent="0.25">
      <c r="A296" t="s">
        <v>324</v>
      </c>
      <c r="B296" s="1">
        <v>45784</v>
      </c>
      <c r="D296">
        <v>24</v>
      </c>
      <c r="E296" t="s">
        <v>15</v>
      </c>
      <c r="F296" t="s">
        <v>27</v>
      </c>
      <c r="G296" t="s">
        <v>18</v>
      </c>
      <c r="H296">
        <v>3995</v>
      </c>
      <c r="I296">
        <v>5</v>
      </c>
      <c r="J296">
        <v>67</v>
      </c>
      <c r="K296">
        <f t="shared" si="12"/>
        <v>0</v>
      </c>
      <c r="L296" s="4">
        <f t="shared" ca="1" si="13"/>
        <v>11</v>
      </c>
      <c r="M296" t="str">
        <f t="shared" si="14"/>
        <v>May-2025</v>
      </c>
      <c r="N296" t="s">
        <v>25</v>
      </c>
    </row>
    <row r="297" spans="1:14" x14ac:dyDescent="0.25">
      <c r="A297" t="s">
        <v>325</v>
      </c>
      <c r="B297" s="1">
        <v>45556</v>
      </c>
      <c r="D297">
        <v>38</v>
      </c>
      <c r="E297" t="s">
        <v>12</v>
      </c>
      <c r="F297" t="s">
        <v>17</v>
      </c>
      <c r="G297" t="s">
        <v>18</v>
      </c>
      <c r="H297">
        <v>10387</v>
      </c>
      <c r="I297">
        <v>13</v>
      </c>
      <c r="J297">
        <v>32</v>
      </c>
      <c r="K297">
        <f t="shared" si="12"/>
        <v>0</v>
      </c>
      <c r="L297" s="4">
        <f t="shared" ca="1" si="13"/>
        <v>19</v>
      </c>
      <c r="M297" t="str">
        <f t="shared" si="14"/>
        <v>Sep-2024</v>
      </c>
      <c r="N297" t="s">
        <v>23</v>
      </c>
    </row>
    <row r="298" spans="1:14" x14ac:dyDescent="0.25">
      <c r="A298" t="s">
        <v>326</v>
      </c>
      <c r="B298" s="1">
        <v>45640</v>
      </c>
      <c r="D298">
        <v>54</v>
      </c>
      <c r="E298" t="s">
        <v>21</v>
      </c>
      <c r="F298" t="s">
        <v>41</v>
      </c>
      <c r="G298" t="s">
        <v>14</v>
      </c>
      <c r="H298">
        <v>6990</v>
      </c>
      <c r="I298">
        <v>10</v>
      </c>
      <c r="J298">
        <v>59</v>
      </c>
      <c r="K298">
        <f t="shared" si="12"/>
        <v>0</v>
      </c>
      <c r="L298" s="4">
        <f t="shared" ca="1" si="13"/>
        <v>16</v>
      </c>
      <c r="M298" t="str">
        <f t="shared" si="14"/>
        <v>Dec-2024</v>
      </c>
      <c r="N298" t="s">
        <v>23</v>
      </c>
    </row>
    <row r="299" spans="1:14" x14ac:dyDescent="0.25">
      <c r="A299" t="s">
        <v>327</v>
      </c>
      <c r="B299" s="1">
        <v>45781</v>
      </c>
      <c r="D299">
        <v>57</v>
      </c>
      <c r="E299" t="s">
        <v>15</v>
      </c>
      <c r="F299" t="s">
        <v>38</v>
      </c>
      <c r="G299" t="s">
        <v>14</v>
      </c>
      <c r="H299">
        <v>4194</v>
      </c>
      <c r="I299">
        <v>6</v>
      </c>
      <c r="J299">
        <v>59</v>
      </c>
      <c r="K299">
        <f t="shared" si="12"/>
        <v>0</v>
      </c>
      <c r="L299" s="4">
        <f t="shared" ca="1" si="13"/>
        <v>11</v>
      </c>
      <c r="M299" t="str">
        <f t="shared" si="14"/>
        <v>May-2025</v>
      </c>
      <c r="N299" t="s">
        <v>23</v>
      </c>
    </row>
    <row r="300" spans="1:14" x14ac:dyDescent="0.25">
      <c r="A300" t="s">
        <v>328</v>
      </c>
      <c r="B300" s="1">
        <v>45845</v>
      </c>
      <c r="C300" s="1">
        <v>45875</v>
      </c>
      <c r="D300">
        <v>31</v>
      </c>
      <c r="E300" t="s">
        <v>21</v>
      </c>
      <c r="F300" t="s">
        <v>13</v>
      </c>
      <c r="G300" t="s">
        <v>18</v>
      </c>
      <c r="H300">
        <v>799</v>
      </c>
      <c r="I300">
        <v>1</v>
      </c>
      <c r="J300">
        <v>58</v>
      </c>
      <c r="K300">
        <f t="shared" si="12"/>
        <v>1</v>
      </c>
      <c r="L300" s="4">
        <f t="shared" ca="1" si="13"/>
        <v>1</v>
      </c>
      <c r="M300" t="str">
        <f t="shared" si="14"/>
        <v>Jul-2025</v>
      </c>
      <c r="N300" t="s">
        <v>19</v>
      </c>
    </row>
    <row r="301" spans="1:14" x14ac:dyDescent="0.25">
      <c r="A301" t="s">
        <v>329</v>
      </c>
      <c r="B301" s="1">
        <v>44979</v>
      </c>
      <c r="D301">
        <v>50</v>
      </c>
      <c r="E301" t="s">
        <v>21</v>
      </c>
      <c r="F301" t="s">
        <v>47</v>
      </c>
      <c r="G301" t="s">
        <v>18</v>
      </c>
      <c r="H301">
        <v>25568</v>
      </c>
      <c r="I301">
        <v>32</v>
      </c>
      <c r="J301">
        <v>70</v>
      </c>
      <c r="K301">
        <f t="shared" si="12"/>
        <v>0</v>
      </c>
      <c r="L301" s="4">
        <f t="shared" ca="1" si="13"/>
        <v>38</v>
      </c>
      <c r="M301" t="str">
        <f t="shared" si="14"/>
        <v>Feb-2023</v>
      </c>
      <c r="N301" t="s">
        <v>23</v>
      </c>
    </row>
    <row r="302" spans="1:14" x14ac:dyDescent="0.25">
      <c r="A302" t="s">
        <v>330</v>
      </c>
      <c r="B302" s="1">
        <v>45729</v>
      </c>
      <c r="D302">
        <v>58</v>
      </c>
      <c r="E302" t="s">
        <v>21</v>
      </c>
      <c r="F302" t="s">
        <v>41</v>
      </c>
      <c r="G302" t="s">
        <v>18</v>
      </c>
      <c r="H302">
        <v>5593</v>
      </c>
      <c r="I302">
        <v>7</v>
      </c>
      <c r="J302">
        <v>61</v>
      </c>
      <c r="K302">
        <f t="shared" si="12"/>
        <v>0</v>
      </c>
      <c r="L302" s="4">
        <f t="shared" ca="1" si="13"/>
        <v>13</v>
      </c>
      <c r="M302" t="str">
        <f t="shared" si="14"/>
        <v>Mar-2025</v>
      </c>
      <c r="N302" t="s">
        <v>15</v>
      </c>
    </row>
    <row r="303" spans="1:14" x14ac:dyDescent="0.25">
      <c r="A303" t="s">
        <v>331</v>
      </c>
      <c r="B303" s="1">
        <v>45141</v>
      </c>
      <c r="C303" s="1">
        <v>45291</v>
      </c>
      <c r="D303">
        <v>47</v>
      </c>
      <c r="E303" t="s">
        <v>21</v>
      </c>
      <c r="F303" t="s">
        <v>47</v>
      </c>
      <c r="G303" t="s">
        <v>18</v>
      </c>
      <c r="H303">
        <v>3995</v>
      </c>
      <c r="I303">
        <v>5</v>
      </c>
      <c r="J303">
        <v>38</v>
      </c>
      <c r="K303">
        <f t="shared" si="12"/>
        <v>1</v>
      </c>
      <c r="L303" s="4">
        <f t="shared" ca="1" si="13"/>
        <v>5</v>
      </c>
      <c r="M303" t="str">
        <f t="shared" si="14"/>
        <v>Aug-2023</v>
      </c>
      <c r="N303" t="s">
        <v>19</v>
      </c>
    </row>
    <row r="304" spans="1:14" x14ac:dyDescent="0.25">
      <c r="A304" t="s">
        <v>332</v>
      </c>
      <c r="B304" s="1">
        <v>45559</v>
      </c>
      <c r="D304">
        <v>57</v>
      </c>
      <c r="E304" t="s">
        <v>21</v>
      </c>
      <c r="F304" t="s">
        <v>38</v>
      </c>
      <c r="G304" t="s">
        <v>18</v>
      </c>
      <c r="H304">
        <v>10387</v>
      </c>
      <c r="I304">
        <v>13</v>
      </c>
      <c r="J304">
        <v>46</v>
      </c>
      <c r="K304">
        <f t="shared" si="12"/>
        <v>0</v>
      </c>
      <c r="L304" s="4">
        <f t="shared" ca="1" si="13"/>
        <v>18</v>
      </c>
      <c r="M304" t="str">
        <f t="shared" si="14"/>
        <v>Sep-2024</v>
      </c>
      <c r="N304" t="s">
        <v>19</v>
      </c>
    </row>
    <row r="305" spans="1:14" x14ac:dyDescent="0.25">
      <c r="A305" t="s">
        <v>333</v>
      </c>
      <c r="B305" s="1">
        <v>45688</v>
      </c>
      <c r="C305" s="1">
        <v>45958</v>
      </c>
      <c r="D305">
        <v>29</v>
      </c>
      <c r="E305" t="s">
        <v>21</v>
      </c>
      <c r="F305" t="s">
        <v>32</v>
      </c>
      <c r="G305" t="s">
        <v>18</v>
      </c>
      <c r="H305">
        <v>7191</v>
      </c>
      <c r="I305">
        <v>9</v>
      </c>
      <c r="J305">
        <v>38</v>
      </c>
      <c r="K305">
        <f t="shared" si="12"/>
        <v>1</v>
      </c>
      <c r="L305" s="4">
        <f t="shared" ca="1" si="13"/>
        <v>9</v>
      </c>
      <c r="M305" t="str">
        <f t="shared" si="14"/>
        <v>Jan-2025</v>
      </c>
      <c r="N305" t="s">
        <v>23</v>
      </c>
    </row>
    <row r="306" spans="1:14" x14ac:dyDescent="0.25">
      <c r="A306" t="s">
        <v>334</v>
      </c>
      <c r="B306" s="1">
        <v>45154</v>
      </c>
      <c r="D306">
        <v>51</v>
      </c>
      <c r="E306" t="s">
        <v>21</v>
      </c>
      <c r="F306" t="s">
        <v>27</v>
      </c>
      <c r="G306" t="s">
        <v>18</v>
      </c>
      <c r="H306">
        <v>20774</v>
      </c>
      <c r="I306">
        <v>26</v>
      </c>
      <c r="J306">
        <v>49</v>
      </c>
      <c r="K306">
        <f t="shared" si="12"/>
        <v>0</v>
      </c>
      <c r="L306" s="4">
        <f t="shared" ca="1" si="13"/>
        <v>32</v>
      </c>
      <c r="M306" t="str">
        <f t="shared" si="14"/>
        <v>Aug-2023</v>
      </c>
      <c r="N306" t="s">
        <v>19</v>
      </c>
    </row>
    <row r="307" spans="1:14" x14ac:dyDescent="0.25">
      <c r="A307" t="s">
        <v>335</v>
      </c>
      <c r="B307" s="1">
        <v>44917</v>
      </c>
      <c r="D307">
        <v>47</v>
      </c>
      <c r="E307" t="s">
        <v>12</v>
      </c>
      <c r="F307" t="s">
        <v>22</v>
      </c>
      <c r="G307" t="s">
        <v>18</v>
      </c>
      <c r="H307">
        <v>27166</v>
      </c>
      <c r="I307">
        <v>34</v>
      </c>
      <c r="J307">
        <v>66</v>
      </c>
      <c r="K307">
        <f t="shared" si="12"/>
        <v>0</v>
      </c>
      <c r="L307" s="4">
        <f t="shared" ca="1" si="13"/>
        <v>40</v>
      </c>
      <c r="M307" t="str">
        <f t="shared" si="14"/>
        <v>Dec-2022</v>
      </c>
      <c r="N307" t="s">
        <v>19</v>
      </c>
    </row>
    <row r="308" spans="1:14" x14ac:dyDescent="0.25">
      <c r="A308" t="s">
        <v>336</v>
      </c>
      <c r="B308" s="1">
        <v>45274</v>
      </c>
      <c r="C308" s="1">
        <v>45784</v>
      </c>
      <c r="D308">
        <v>55</v>
      </c>
      <c r="E308" t="s">
        <v>12</v>
      </c>
      <c r="F308" t="s">
        <v>47</v>
      </c>
      <c r="G308" t="s">
        <v>18</v>
      </c>
      <c r="H308">
        <v>13583</v>
      </c>
      <c r="I308">
        <v>17</v>
      </c>
      <c r="J308">
        <v>70</v>
      </c>
      <c r="K308">
        <f t="shared" si="12"/>
        <v>1</v>
      </c>
      <c r="L308" s="4">
        <f t="shared" ca="1" si="13"/>
        <v>17</v>
      </c>
      <c r="M308" t="str">
        <f t="shared" si="14"/>
        <v>Dec-2023</v>
      </c>
      <c r="N308" t="s">
        <v>19</v>
      </c>
    </row>
    <row r="309" spans="1:14" x14ac:dyDescent="0.25">
      <c r="A309" t="s">
        <v>337</v>
      </c>
      <c r="B309" s="1">
        <v>45484</v>
      </c>
      <c r="D309">
        <v>48</v>
      </c>
      <c r="E309" t="s">
        <v>12</v>
      </c>
      <c r="F309" t="s">
        <v>22</v>
      </c>
      <c r="G309" t="s">
        <v>14</v>
      </c>
      <c r="H309">
        <v>10485</v>
      </c>
      <c r="I309">
        <v>15</v>
      </c>
      <c r="J309">
        <v>51</v>
      </c>
      <c r="K309">
        <f t="shared" si="12"/>
        <v>0</v>
      </c>
      <c r="L309" s="4">
        <f t="shared" ca="1" si="13"/>
        <v>21</v>
      </c>
      <c r="M309" t="str">
        <f t="shared" si="14"/>
        <v>Jul-2024</v>
      </c>
      <c r="N309" t="s">
        <v>19</v>
      </c>
    </row>
    <row r="310" spans="1:14" x14ac:dyDescent="0.25">
      <c r="A310" t="s">
        <v>338</v>
      </c>
      <c r="B310" s="1">
        <v>45131</v>
      </c>
      <c r="D310">
        <v>32</v>
      </c>
      <c r="E310" t="s">
        <v>12</v>
      </c>
      <c r="F310" t="s">
        <v>32</v>
      </c>
      <c r="G310" t="s">
        <v>18</v>
      </c>
      <c r="H310">
        <v>21573</v>
      </c>
      <c r="I310">
        <v>27</v>
      </c>
      <c r="J310">
        <v>56</v>
      </c>
      <c r="K310">
        <f t="shared" si="12"/>
        <v>0</v>
      </c>
      <c r="L310" s="4">
        <f t="shared" ca="1" si="13"/>
        <v>33</v>
      </c>
      <c r="M310" t="str">
        <f t="shared" si="14"/>
        <v>Jul-2023</v>
      </c>
      <c r="N310" t="s">
        <v>23</v>
      </c>
    </row>
    <row r="311" spans="1:14" x14ac:dyDescent="0.25">
      <c r="A311" t="s">
        <v>339</v>
      </c>
      <c r="B311" s="1">
        <v>44932</v>
      </c>
      <c r="C311" s="1">
        <v>45052</v>
      </c>
      <c r="D311">
        <v>55</v>
      </c>
      <c r="E311" t="s">
        <v>21</v>
      </c>
      <c r="F311" t="s">
        <v>41</v>
      </c>
      <c r="G311" t="s">
        <v>18</v>
      </c>
      <c r="H311">
        <v>3196</v>
      </c>
      <c r="I311">
        <v>4</v>
      </c>
      <c r="J311">
        <v>54</v>
      </c>
      <c r="K311">
        <f t="shared" si="12"/>
        <v>1</v>
      </c>
      <c r="L311" s="4">
        <f t="shared" ca="1" si="13"/>
        <v>4</v>
      </c>
      <c r="M311" t="str">
        <f t="shared" si="14"/>
        <v>Jan-2023</v>
      </c>
      <c r="N311" t="s">
        <v>23</v>
      </c>
    </row>
    <row r="312" spans="1:14" x14ac:dyDescent="0.25">
      <c r="A312" t="s">
        <v>340</v>
      </c>
      <c r="B312" s="1">
        <v>45426</v>
      </c>
      <c r="C312" s="1">
        <v>45606</v>
      </c>
      <c r="D312">
        <v>26</v>
      </c>
      <c r="E312" t="s">
        <v>12</v>
      </c>
      <c r="F312" t="s">
        <v>38</v>
      </c>
      <c r="G312" t="s">
        <v>18</v>
      </c>
      <c r="H312">
        <v>4794</v>
      </c>
      <c r="I312">
        <v>6</v>
      </c>
      <c r="J312">
        <v>36</v>
      </c>
      <c r="K312">
        <f t="shared" si="12"/>
        <v>1</v>
      </c>
      <c r="L312" s="4">
        <f t="shared" ca="1" si="13"/>
        <v>6</v>
      </c>
      <c r="M312" t="str">
        <f t="shared" si="14"/>
        <v>May-2024</v>
      </c>
      <c r="N312" t="s">
        <v>23</v>
      </c>
    </row>
    <row r="313" spans="1:14" x14ac:dyDescent="0.25">
      <c r="A313" t="s">
        <v>341</v>
      </c>
      <c r="B313" s="1">
        <v>45897</v>
      </c>
      <c r="D313">
        <v>53</v>
      </c>
      <c r="E313" t="s">
        <v>21</v>
      </c>
      <c r="F313" t="s">
        <v>17</v>
      </c>
      <c r="G313" t="s">
        <v>18</v>
      </c>
      <c r="H313">
        <v>1598</v>
      </c>
      <c r="I313">
        <v>2</v>
      </c>
      <c r="J313">
        <v>62</v>
      </c>
      <c r="K313">
        <f t="shared" si="12"/>
        <v>0</v>
      </c>
      <c r="L313" s="4">
        <f t="shared" ca="1" si="13"/>
        <v>7</v>
      </c>
      <c r="M313" t="str">
        <f t="shared" si="14"/>
        <v>Aug-2025</v>
      </c>
      <c r="N313" t="s">
        <v>19</v>
      </c>
    </row>
    <row r="314" spans="1:14" x14ac:dyDescent="0.25">
      <c r="A314" t="s">
        <v>342</v>
      </c>
      <c r="B314" s="1">
        <v>45466</v>
      </c>
      <c r="D314">
        <v>27</v>
      </c>
      <c r="E314" t="s">
        <v>21</v>
      </c>
      <c r="F314" t="s">
        <v>29</v>
      </c>
      <c r="G314" t="s">
        <v>18</v>
      </c>
      <c r="H314">
        <v>12784</v>
      </c>
      <c r="I314">
        <v>16</v>
      </c>
      <c r="J314">
        <v>55</v>
      </c>
      <c r="K314">
        <f t="shared" si="12"/>
        <v>0</v>
      </c>
      <c r="L314" s="4">
        <f t="shared" ca="1" si="13"/>
        <v>22</v>
      </c>
      <c r="M314" t="str">
        <f t="shared" si="14"/>
        <v>Jun-2024</v>
      </c>
      <c r="N314" t="s">
        <v>19</v>
      </c>
    </row>
    <row r="315" spans="1:14" x14ac:dyDescent="0.25">
      <c r="A315" t="s">
        <v>343</v>
      </c>
      <c r="B315" s="1">
        <v>45164</v>
      </c>
      <c r="D315">
        <v>60</v>
      </c>
      <c r="E315" t="s">
        <v>21</v>
      </c>
      <c r="F315" t="s">
        <v>38</v>
      </c>
      <c r="G315" t="s">
        <v>14</v>
      </c>
      <c r="H315">
        <v>18174</v>
      </c>
      <c r="I315">
        <v>26</v>
      </c>
      <c r="J315">
        <v>56</v>
      </c>
      <c r="K315">
        <f t="shared" si="12"/>
        <v>0</v>
      </c>
      <c r="L315" s="4">
        <f t="shared" ca="1" si="13"/>
        <v>32</v>
      </c>
      <c r="M315" t="str">
        <f t="shared" si="14"/>
        <v>Aug-2023</v>
      </c>
      <c r="N315" t="s">
        <v>19</v>
      </c>
    </row>
    <row r="316" spans="1:14" x14ac:dyDescent="0.25">
      <c r="A316" t="s">
        <v>344</v>
      </c>
      <c r="B316" s="1">
        <v>45449</v>
      </c>
      <c r="D316">
        <v>47</v>
      </c>
      <c r="E316" t="s">
        <v>12</v>
      </c>
      <c r="F316" t="s">
        <v>29</v>
      </c>
      <c r="G316" t="s">
        <v>18</v>
      </c>
      <c r="H316">
        <v>13583</v>
      </c>
      <c r="I316">
        <v>17</v>
      </c>
      <c r="J316">
        <v>46</v>
      </c>
      <c r="K316">
        <f t="shared" si="12"/>
        <v>0</v>
      </c>
      <c r="L316" s="4">
        <f t="shared" ca="1" si="13"/>
        <v>22</v>
      </c>
      <c r="M316" t="str">
        <f t="shared" si="14"/>
        <v>Jun-2024</v>
      </c>
      <c r="N316" t="s">
        <v>23</v>
      </c>
    </row>
    <row r="317" spans="1:14" x14ac:dyDescent="0.25">
      <c r="A317" t="s">
        <v>345</v>
      </c>
      <c r="B317" s="1">
        <v>45015</v>
      </c>
      <c r="C317" s="1">
        <v>45195</v>
      </c>
      <c r="D317">
        <v>22</v>
      </c>
      <c r="E317" t="s">
        <v>21</v>
      </c>
      <c r="F317" t="s">
        <v>38</v>
      </c>
      <c r="G317" t="s">
        <v>18</v>
      </c>
      <c r="H317">
        <v>4794</v>
      </c>
      <c r="I317">
        <v>6</v>
      </c>
      <c r="J317">
        <v>47</v>
      </c>
      <c r="K317">
        <f t="shared" si="12"/>
        <v>1</v>
      </c>
      <c r="L317" s="4">
        <f t="shared" ca="1" si="13"/>
        <v>6</v>
      </c>
      <c r="M317" t="str">
        <f t="shared" si="14"/>
        <v>Mar-2023</v>
      </c>
      <c r="N317" t="s">
        <v>23</v>
      </c>
    </row>
    <row r="318" spans="1:14" x14ac:dyDescent="0.25">
      <c r="A318" t="s">
        <v>346</v>
      </c>
      <c r="B318" s="1">
        <v>45862</v>
      </c>
      <c r="D318">
        <v>33</v>
      </c>
      <c r="E318" t="s">
        <v>21</v>
      </c>
      <c r="F318" t="s">
        <v>47</v>
      </c>
      <c r="G318" t="s">
        <v>14</v>
      </c>
      <c r="H318">
        <v>2097</v>
      </c>
      <c r="I318">
        <v>3</v>
      </c>
      <c r="J318">
        <v>85</v>
      </c>
      <c r="K318">
        <f t="shared" si="12"/>
        <v>0</v>
      </c>
      <c r="L318" s="4">
        <f t="shared" ca="1" si="13"/>
        <v>8</v>
      </c>
      <c r="M318" t="str">
        <f t="shared" si="14"/>
        <v>Jul-2025</v>
      </c>
      <c r="N318" t="s">
        <v>15</v>
      </c>
    </row>
    <row r="319" spans="1:14" x14ac:dyDescent="0.25">
      <c r="A319" t="s">
        <v>347</v>
      </c>
      <c r="B319" s="1">
        <v>45735</v>
      </c>
      <c r="D319">
        <v>58</v>
      </c>
      <c r="E319" t="s">
        <v>12</v>
      </c>
      <c r="F319" t="s">
        <v>57</v>
      </c>
      <c r="G319" t="s">
        <v>14</v>
      </c>
      <c r="H319">
        <v>4893</v>
      </c>
      <c r="I319">
        <v>7</v>
      </c>
      <c r="J319">
        <v>51</v>
      </c>
      <c r="K319">
        <f t="shared" si="12"/>
        <v>0</v>
      </c>
      <c r="L319" s="4">
        <f t="shared" ca="1" si="13"/>
        <v>13</v>
      </c>
      <c r="M319" t="str">
        <f t="shared" si="14"/>
        <v>Mar-2025</v>
      </c>
      <c r="N319" t="s">
        <v>19</v>
      </c>
    </row>
    <row r="320" spans="1:14" x14ac:dyDescent="0.25">
      <c r="A320" t="s">
        <v>348</v>
      </c>
      <c r="B320" s="1">
        <v>45195</v>
      </c>
      <c r="D320">
        <v>30</v>
      </c>
      <c r="E320" t="s">
        <v>21</v>
      </c>
      <c r="F320" t="s">
        <v>41</v>
      </c>
      <c r="G320" t="s">
        <v>14</v>
      </c>
      <c r="H320">
        <v>17475</v>
      </c>
      <c r="I320">
        <v>25</v>
      </c>
      <c r="J320">
        <v>76</v>
      </c>
      <c r="K320">
        <f t="shared" si="12"/>
        <v>0</v>
      </c>
      <c r="L320" s="4">
        <f t="shared" ca="1" si="13"/>
        <v>31</v>
      </c>
      <c r="M320" t="str">
        <f t="shared" si="14"/>
        <v>Sep-2023</v>
      </c>
      <c r="N320" t="s">
        <v>23</v>
      </c>
    </row>
    <row r="321" spans="1:14" x14ac:dyDescent="0.25">
      <c r="A321" t="s">
        <v>349</v>
      </c>
      <c r="B321" s="1">
        <v>45508</v>
      </c>
      <c r="D321">
        <v>41</v>
      </c>
      <c r="E321" t="s">
        <v>21</v>
      </c>
      <c r="F321" t="s">
        <v>41</v>
      </c>
      <c r="G321" t="s">
        <v>18</v>
      </c>
      <c r="H321">
        <v>11985</v>
      </c>
      <c r="I321">
        <v>15</v>
      </c>
      <c r="J321">
        <v>56</v>
      </c>
      <c r="K321">
        <f t="shared" si="12"/>
        <v>0</v>
      </c>
      <c r="L321" s="4">
        <f t="shared" ca="1" si="13"/>
        <v>20</v>
      </c>
      <c r="M321" t="str">
        <f t="shared" si="14"/>
        <v>Aug-2024</v>
      </c>
      <c r="N321" t="s">
        <v>19</v>
      </c>
    </row>
    <row r="322" spans="1:14" x14ac:dyDescent="0.25">
      <c r="A322" t="s">
        <v>350</v>
      </c>
      <c r="B322" s="1">
        <v>45500</v>
      </c>
      <c r="D322">
        <v>51</v>
      </c>
      <c r="E322" t="s">
        <v>21</v>
      </c>
      <c r="F322" t="s">
        <v>22</v>
      </c>
      <c r="G322" t="s">
        <v>18</v>
      </c>
      <c r="H322">
        <v>11985</v>
      </c>
      <c r="I322">
        <v>15</v>
      </c>
      <c r="J322">
        <v>85</v>
      </c>
      <c r="K322">
        <f t="shared" si="12"/>
        <v>0</v>
      </c>
      <c r="L322" s="4">
        <f t="shared" ca="1" si="13"/>
        <v>20</v>
      </c>
      <c r="M322" t="str">
        <f t="shared" si="14"/>
        <v>Jul-2024</v>
      </c>
      <c r="N322" t="s">
        <v>15</v>
      </c>
    </row>
    <row r="323" spans="1:14" x14ac:dyDescent="0.25">
      <c r="A323" t="s">
        <v>351</v>
      </c>
      <c r="B323" s="1">
        <v>45378</v>
      </c>
      <c r="D323">
        <v>19</v>
      </c>
      <c r="E323" t="s">
        <v>12</v>
      </c>
      <c r="F323" t="s">
        <v>47</v>
      </c>
      <c r="G323" t="s">
        <v>18</v>
      </c>
      <c r="H323">
        <v>15181</v>
      </c>
      <c r="I323">
        <v>19</v>
      </c>
      <c r="J323">
        <v>76</v>
      </c>
      <c r="K323">
        <f t="shared" ref="K323:K386" si="15">IF(ISBLANK(C323), 0, 1)</f>
        <v>0</v>
      </c>
      <c r="L323" s="4">
        <f t="shared" ref="L323:L386" ca="1" si="16">ROUNDUP(DATEDIF(B323, IF(ISBLANK(C323), TODAY(), C323), "d")/30, 0)</f>
        <v>24</v>
      </c>
      <c r="M323" t="str">
        <f t="shared" ref="M323:M386" si="17">TEXT(B323, "mmm-yyyy")</f>
        <v>Mar-2024</v>
      </c>
      <c r="N323" t="s">
        <v>25</v>
      </c>
    </row>
    <row r="324" spans="1:14" x14ac:dyDescent="0.25">
      <c r="A324" t="s">
        <v>352</v>
      </c>
      <c r="B324" s="1">
        <v>45130</v>
      </c>
      <c r="D324">
        <v>45</v>
      </c>
      <c r="E324" t="s">
        <v>12</v>
      </c>
      <c r="F324" t="s">
        <v>13</v>
      </c>
      <c r="G324" t="s">
        <v>30</v>
      </c>
      <c r="H324">
        <v>20223</v>
      </c>
      <c r="I324">
        <v>27</v>
      </c>
      <c r="J324">
        <v>63</v>
      </c>
      <c r="K324">
        <f t="shared" si="15"/>
        <v>0</v>
      </c>
      <c r="L324" s="4">
        <f t="shared" ca="1" si="16"/>
        <v>33</v>
      </c>
      <c r="M324" t="str">
        <f t="shared" si="17"/>
        <v>Jul-2023</v>
      </c>
      <c r="N324" t="s">
        <v>25</v>
      </c>
    </row>
    <row r="325" spans="1:14" x14ac:dyDescent="0.25">
      <c r="A325" t="s">
        <v>353</v>
      </c>
      <c r="B325" s="1">
        <v>45747</v>
      </c>
      <c r="D325">
        <v>50</v>
      </c>
      <c r="E325" t="s">
        <v>12</v>
      </c>
      <c r="F325" t="s">
        <v>22</v>
      </c>
      <c r="G325" t="s">
        <v>30</v>
      </c>
      <c r="H325">
        <v>5243</v>
      </c>
      <c r="I325">
        <v>7</v>
      </c>
      <c r="J325">
        <v>83</v>
      </c>
      <c r="K325">
        <f t="shared" si="15"/>
        <v>0</v>
      </c>
      <c r="L325" s="4">
        <f t="shared" ca="1" si="16"/>
        <v>12</v>
      </c>
      <c r="M325" t="str">
        <f t="shared" si="17"/>
        <v>Mar-2025</v>
      </c>
      <c r="N325" t="s">
        <v>25</v>
      </c>
    </row>
    <row r="326" spans="1:14" x14ac:dyDescent="0.25">
      <c r="A326" t="s">
        <v>354</v>
      </c>
      <c r="B326" s="1">
        <v>45928</v>
      </c>
      <c r="D326">
        <v>47</v>
      </c>
      <c r="E326" t="s">
        <v>15</v>
      </c>
      <c r="F326" t="s">
        <v>57</v>
      </c>
      <c r="G326" t="s">
        <v>18</v>
      </c>
      <c r="H326">
        <v>799</v>
      </c>
      <c r="I326">
        <v>1</v>
      </c>
      <c r="J326">
        <v>63</v>
      </c>
      <c r="K326">
        <f t="shared" si="15"/>
        <v>0</v>
      </c>
      <c r="L326" s="4">
        <f t="shared" ca="1" si="16"/>
        <v>6</v>
      </c>
      <c r="M326" t="str">
        <f t="shared" si="17"/>
        <v>Sep-2025</v>
      </c>
      <c r="N326" t="s">
        <v>19</v>
      </c>
    </row>
    <row r="327" spans="1:14" x14ac:dyDescent="0.25">
      <c r="A327" t="s">
        <v>355</v>
      </c>
      <c r="B327" s="1">
        <v>45224</v>
      </c>
      <c r="D327">
        <v>54</v>
      </c>
      <c r="E327" t="s">
        <v>12</v>
      </c>
      <c r="F327" t="s">
        <v>13</v>
      </c>
      <c r="G327" t="s">
        <v>18</v>
      </c>
      <c r="H327">
        <v>19176</v>
      </c>
      <c r="I327">
        <v>24</v>
      </c>
      <c r="J327">
        <v>71</v>
      </c>
      <c r="K327">
        <f t="shared" si="15"/>
        <v>0</v>
      </c>
      <c r="L327" s="4">
        <f t="shared" ca="1" si="16"/>
        <v>30</v>
      </c>
      <c r="M327" t="str">
        <f t="shared" si="17"/>
        <v>Oct-2023</v>
      </c>
      <c r="N327" t="s">
        <v>25</v>
      </c>
    </row>
    <row r="328" spans="1:14" x14ac:dyDescent="0.25">
      <c r="A328" t="s">
        <v>356</v>
      </c>
      <c r="B328" s="1">
        <v>45145</v>
      </c>
      <c r="D328">
        <v>51</v>
      </c>
      <c r="E328" t="s">
        <v>21</v>
      </c>
      <c r="F328" t="s">
        <v>17</v>
      </c>
      <c r="G328" t="s">
        <v>30</v>
      </c>
      <c r="H328">
        <v>20223</v>
      </c>
      <c r="I328">
        <v>27</v>
      </c>
      <c r="J328">
        <v>82</v>
      </c>
      <c r="K328">
        <f t="shared" si="15"/>
        <v>0</v>
      </c>
      <c r="L328" s="4">
        <f t="shared" ca="1" si="16"/>
        <v>32</v>
      </c>
      <c r="M328" t="str">
        <f t="shared" si="17"/>
        <v>Aug-2023</v>
      </c>
      <c r="N328" t="s">
        <v>23</v>
      </c>
    </row>
    <row r="329" spans="1:14" x14ac:dyDescent="0.25">
      <c r="A329" t="s">
        <v>357</v>
      </c>
      <c r="B329" s="1">
        <v>45907</v>
      </c>
      <c r="D329">
        <v>52</v>
      </c>
      <c r="E329" t="s">
        <v>12</v>
      </c>
      <c r="F329" t="s">
        <v>27</v>
      </c>
      <c r="G329" t="s">
        <v>18</v>
      </c>
      <c r="H329">
        <v>799</v>
      </c>
      <c r="I329">
        <v>1</v>
      </c>
      <c r="J329">
        <v>68</v>
      </c>
      <c r="K329">
        <f t="shared" si="15"/>
        <v>0</v>
      </c>
      <c r="L329" s="4">
        <f t="shared" ca="1" si="16"/>
        <v>7</v>
      </c>
      <c r="M329" t="str">
        <f t="shared" si="17"/>
        <v>Sep-2025</v>
      </c>
      <c r="N329" t="s">
        <v>19</v>
      </c>
    </row>
    <row r="330" spans="1:14" x14ac:dyDescent="0.25">
      <c r="A330" t="s">
        <v>358</v>
      </c>
      <c r="B330" s="1">
        <v>45299</v>
      </c>
      <c r="D330">
        <v>40</v>
      </c>
      <c r="E330" t="s">
        <v>21</v>
      </c>
      <c r="F330" t="s">
        <v>57</v>
      </c>
      <c r="G330" t="s">
        <v>18</v>
      </c>
      <c r="H330">
        <v>17578</v>
      </c>
      <c r="I330">
        <v>22</v>
      </c>
      <c r="J330">
        <v>4</v>
      </c>
      <c r="K330">
        <f t="shared" si="15"/>
        <v>0</v>
      </c>
      <c r="L330" s="4">
        <f t="shared" ca="1" si="16"/>
        <v>27</v>
      </c>
      <c r="M330" t="str">
        <f t="shared" si="17"/>
        <v>Jan-2024</v>
      </c>
      <c r="N330" t="s">
        <v>19</v>
      </c>
    </row>
    <row r="331" spans="1:14" x14ac:dyDescent="0.25">
      <c r="A331" t="s">
        <v>359</v>
      </c>
      <c r="B331" s="1">
        <v>45140</v>
      </c>
      <c r="D331">
        <v>47</v>
      </c>
      <c r="E331" t="s">
        <v>21</v>
      </c>
      <c r="F331" t="s">
        <v>27</v>
      </c>
      <c r="G331" t="s">
        <v>18</v>
      </c>
      <c r="H331">
        <v>21573</v>
      </c>
      <c r="I331">
        <v>27</v>
      </c>
      <c r="J331">
        <v>62</v>
      </c>
      <c r="K331">
        <f t="shared" si="15"/>
        <v>0</v>
      </c>
      <c r="L331" s="4">
        <f t="shared" ca="1" si="16"/>
        <v>32</v>
      </c>
      <c r="M331" t="str">
        <f t="shared" si="17"/>
        <v>Aug-2023</v>
      </c>
      <c r="N331" t="s">
        <v>23</v>
      </c>
    </row>
    <row r="332" spans="1:14" x14ac:dyDescent="0.25">
      <c r="A332" t="s">
        <v>360</v>
      </c>
      <c r="B332" s="1">
        <v>44977</v>
      </c>
      <c r="D332">
        <v>42</v>
      </c>
      <c r="E332" t="s">
        <v>21</v>
      </c>
      <c r="F332" t="s">
        <v>57</v>
      </c>
      <c r="G332" t="s">
        <v>14</v>
      </c>
      <c r="H332">
        <v>22368</v>
      </c>
      <c r="I332">
        <v>32</v>
      </c>
      <c r="J332">
        <v>56</v>
      </c>
      <c r="K332">
        <f t="shared" si="15"/>
        <v>0</v>
      </c>
      <c r="L332" s="4">
        <f t="shared" ca="1" si="16"/>
        <v>38</v>
      </c>
      <c r="M332" t="str">
        <f t="shared" si="17"/>
        <v>Feb-2023</v>
      </c>
      <c r="N332" t="s">
        <v>23</v>
      </c>
    </row>
    <row r="333" spans="1:14" x14ac:dyDescent="0.25">
      <c r="A333" t="s">
        <v>361</v>
      </c>
      <c r="B333" s="1">
        <v>45343</v>
      </c>
      <c r="D333">
        <v>32</v>
      </c>
      <c r="E333" t="s">
        <v>15</v>
      </c>
      <c r="F333" t="s">
        <v>41</v>
      </c>
      <c r="G333" t="s">
        <v>30</v>
      </c>
      <c r="H333">
        <v>14980</v>
      </c>
      <c r="I333">
        <v>20</v>
      </c>
      <c r="J333">
        <v>71</v>
      </c>
      <c r="K333">
        <f t="shared" si="15"/>
        <v>0</v>
      </c>
      <c r="L333" s="4">
        <f t="shared" ca="1" si="16"/>
        <v>26</v>
      </c>
      <c r="M333" t="str">
        <f t="shared" si="17"/>
        <v>Feb-2024</v>
      </c>
      <c r="N333" t="s">
        <v>19</v>
      </c>
    </row>
    <row r="334" spans="1:14" x14ac:dyDescent="0.25">
      <c r="A334" t="s">
        <v>362</v>
      </c>
      <c r="B334" s="1">
        <v>45117</v>
      </c>
      <c r="D334">
        <v>56</v>
      </c>
      <c r="E334" t="s">
        <v>15</v>
      </c>
      <c r="F334" t="s">
        <v>32</v>
      </c>
      <c r="G334" t="s">
        <v>18</v>
      </c>
      <c r="H334">
        <v>22372</v>
      </c>
      <c r="I334">
        <v>28</v>
      </c>
      <c r="J334">
        <v>76</v>
      </c>
      <c r="K334">
        <f t="shared" si="15"/>
        <v>0</v>
      </c>
      <c r="L334" s="4">
        <f t="shared" ca="1" si="16"/>
        <v>33</v>
      </c>
      <c r="M334" t="str">
        <f t="shared" si="17"/>
        <v>Jul-2023</v>
      </c>
      <c r="N334" t="s">
        <v>23</v>
      </c>
    </row>
    <row r="335" spans="1:14" x14ac:dyDescent="0.25">
      <c r="A335" t="s">
        <v>363</v>
      </c>
      <c r="B335" s="1">
        <v>45693</v>
      </c>
      <c r="C335" s="1">
        <v>45813</v>
      </c>
      <c r="D335">
        <v>23</v>
      </c>
      <c r="E335" t="s">
        <v>21</v>
      </c>
      <c r="F335" t="s">
        <v>27</v>
      </c>
      <c r="G335" t="s">
        <v>30</v>
      </c>
      <c r="H335">
        <v>2996</v>
      </c>
      <c r="I335">
        <v>4</v>
      </c>
      <c r="J335">
        <v>43</v>
      </c>
      <c r="K335">
        <f t="shared" si="15"/>
        <v>1</v>
      </c>
      <c r="L335" s="4">
        <f t="shared" ca="1" si="16"/>
        <v>4</v>
      </c>
      <c r="M335" t="str">
        <f t="shared" si="17"/>
        <v>Feb-2025</v>
      </c>
      <c r="N335" t="s">
        <v>23</v>
      </c>
    </row>
    <row r="336" spans="1:14" x14ac:dyDescent="0.25">
      <c r="A336" t="s">
        <v>364</v>
      </c>
      <c r="B336" s="1">
        <v>45880</v>
      </c>
      <c r="D336">
        <v>24</v>
      </c>
      <c r="E336" t="s">
        <v>12</v>
      </c>
      <c r="F336" t="s">
        <v>57</v>
      </c>
      <c r="G336" t="s">
        <v>18</v>
      </c>
      <c r="H336">
        <v>1598</v>
      </c>
      <c r="I336">
        <v>2</v>
      </c>
      <c r="J336">
        <v>54</v>
      </c>
      <c r="K336">
        <f t="shared" si="15"/>
        <v>0</v>
      </c>
      <c r="L336" s="4">
        <f t="shared" ca="1" si="16"/>
        <v>8</v>
      </c>
      <c r="M336" t="str">
        <f t="shared" si="17"/>
        <v>Aug-2025</v>
      </c>
      <c r="N336" t="s">
        <v>19</v>
      </c>
    </row>
    <row r="337" spans="1:14" x14ac:dyDescent="0.25">
      <c r="A337" t="s">
        <v>365</v>
      </c>
      <c r="B337" s="1">
        <v>45846</v>
      </c>
      <c r="D337">
        <v>45</v>
      </c>
      <c r="E337" t="s">
        <v>12</v>
      </c>
      <c r="F337" t="s">
        <v>22</v>
      </c>
      <c r="G337" t="s">
        <v>14</v>
      </c>
      <c r="H337">
        <v>2097</v>
      </c>
      <c r="I337">
        <v>3</v>
      </c>
      <c r="J337">
        <v>88</v>
      </c>
      <c r="K337">
        <f t="shared" si="15"/>
        <v>0</v>
      </c>
      <c r="L337" s="4">
        <f t="shared" ca="1" si="16"/>
        <v>9</v>
      </c>
      <c r="M337" t="str">
        <f t="shared" si="17"/>
        <v>Jul-2025</v>
      </c>
      <c r="N337" t="s">
        <v>23</v>
      </c>
    </row>
    <row r="338" spans="1:14" x14ac:dyDescent="0.25">
      <c r="A338" t="s">
        <v>366</v>
      </c>
      <c r="B338" s="1">
        <v>45024</v>
      </c>
      <c r="D338">
        <v>56</v>
      </c>
      <c r="E338" t="s">
        <v>15</v>
      </c>
      <c r="F338" t="s">
        <v>41</v>
      </c>
      <c r="G338" t="s">
        <v>30</v>
      </c>
      <c r="H338">
        <v>23219</v>
      </c>
      <c r="I338">
        <v>31</v>
      </c>
      <c r="J338">
        <v>82</v>
      </c>
      <c r="K338">
        <f t="shared" si="15"/>
        <v>0</v>
      </c>
      <c r="L338" s="4">
        <f t="shared" ca="1" si="16"/>
        <v>36</v>
      </c>
      <c r="M338" t="str">
        <f t="shared" si="17"/>
        <v>Apr-2023</v>
      </c>
      <c r="N338" t="s">
        <v>23</v>
      </c>
    </row>
    <row r="339" spans="1:14" x14ac:dyDescent="0.25">
      <c r="A339" t="s">
        <v>367</v>
      </c>
      <c r="B339" s="1">
        <v>45298</v>
      </c>
      <c r="D339">
        <v>20</v>
      </c>
      <c r="E339" t="s">
        <v>12</v>
      </c>
      <c r="F339" t="s">
        <v>57</v>
      </c>
      <c r="G339" t="s">
        <v>18</v>
      </c>
      <c r="H339">
        <v>17578</v>
      </c>
      <c r="I339">
        <v>22</v>
      </c>
      <c r="J339">
        <v>40</v>
      </c>
      <c r="K339">
        <f t="shared" si="15"/>
        <v>0</v>
      </c>
      <c r="L339" s="4">
        <f t="shared" ca="1" si="16"/>
        <v>27</v>
      </c>
      <c r="M339" t="str">
        <f t="shared" si="17"/>
        <v>Jan-2024</v>
      </c>
      <c r="N339" t="s">
        <v>19</v>
      </c>
    </row>
    <row r="340" spans="1:14" x14ac:dyDescent="0.25">
      <c r="A340" t="s">
        <v>368</v>
      </c>
      <c r="B340" s="1">
        <v>45411</v>
      </c>
      <c r="C340" s="1">
        <v>45651</v>
      </c>
      <c r="D340">
        <v>44</v>
      </c>
      <c r="E340" t="s">
        <v>12</v>
      </c>
      <c r="F340" t="s">
        <v>13</v>
      </c>
      <c r="G340" t="s">
        <v>18</v>
      </c>
      <c r="H340">
        <v>6392</v>
      </c>
      <c r="I340">
        <v>8</v>
      </c>
      <c r="J340">
        <v>92</v>
      </c>
      <c r="K340">
        <f t="shared" si="15"/>
        <v>1</v>
      </c>
      <c r="L340" s="4">
        <f t="shared" ca="1" si="16"/>
        <v>8</v>
      </c>
      <c r="M340" t="str">
        <f t="shared" si="17"/>
        <v>Apr-2024</v>
      </c>
      <c r="N340" t="s">
        <v>23</v>
      </c>
    </row>
    <row r="341" spans="1:14" x14ac:dyDescent="0.25">
      <c r="A341" t="s">
        <v>369</v>
      </c>
      <c r="B341" s="1">
        <v>44993</v>
      </c>
      <c r="D341">
        <v>44</v>
      </c>
      <c r="E341" t="s">
        <v>21</v>
      </c>
      <c r="F341" t="s">
        <v>47</v>
      </c>
      <c r="G341" t="s">
        <v>14</v>
      </c>
      <c r="H341">
        <v>22368</v>
      </c>
      <c r="I341">
        <v>32</v>
      </c>
      <c r="J341">
        <v>41</v>
      </c>
      <c r="K341">
        <f t="shared" si="15"/>
        <v>0</v>
      </c>
      <c r="L341" s="4">
        <f t="shared" ca="1" si="16"/>
        <v>37</v>
      </c>
      <c r="M341" t="str">
        <f t="shared" si="17"/>
        <v>Mar-2023</v>
      </c>
      <c r="N341" t="s">
        <v>23</v>
      </c>
    </row>
    <row r="342" spans="1:14" x14ac:dyDescent="0.25">
      <c r="A342" t="s">
        <v>370</v>
      </c>
      <c r="B342" s="1">
        <v>45482</v>
      </c>
      <c r="C342" s="1">
        <v>45542</v>
      </c>
      <c r="D342">
        <v>25</v>
      </c>
      <c r="E342" t="s">
        <v>12</v>
      </c>
      <c r="F342" t="s">
        <v>17</v>
      </c>
      <c r="G342" t="s">
        <v>30</v>
      </c>
      <c r="H342">
        <v>1498</v>
      </c>
      <c r="I342">
        <v>2</v>
      </c>
      <c r="J342">
        <v>74</v>
      </c>
      <c r="K342">
        <f t="shared" si="15"/>
        <v>1</v>
      </c>
      <c r="L342" s="4">
        <f t="shared" ca="1" si="16"/>
        <v>2</v>
      </c>
      <c r="M342" t="str">
        <f t="shared" si="17"/>
        <v>Jul-2024</v>
      </c>
      <c r="N342" t="s">
        <v>19</v>
      </c>
    </row>
    <row r="343" spans="1:14" x14ac:dyDescent="0.25">
      <c r="A343" t="s">
        <v>371</v>
      </c>
      <c r="B343" s="1">
        <v>45849</v>
      </c>
      <c r="C343" s="1">
        <v>45939</v>
      </c>
      <c r="D343">
        <v>40</v>
      </c>
      <c r="E343" t="s">
        <v>12</v>
      </c>
      <c r="F343" t="s">
        <v>17</v>
      </c>
      <c r="G343" t="s">
        <v>18</v>
      </c>
      <c r="H343">
        <v>2397</v>
      </c>
      <c r="I343">
        <v>3</v>
      </c>
      <c r="J343">
        <v>72</v>
      </c>
      <c r="K343">
        <f t="shared" si="15"/>
        <v>1</v>
      </c>
      <c r="L343" s="4">
        <f t="shared" ca="1" si="16"/>
        <v>3</v>
      </c>
      <c r="M343" t="str">
        <f t="shared" si="17"/>
        <v>Jul-2025</v>
      </c>
      <c r="N343" t="s">
        <v>25</v>
      </c>
    </row>
    <row r="344" spans="1:14" x14ac:dyDescent="0.25">
      <c r="A344" t="s">
        <v>372</v>
      </c>
      <c r="B344" s="1">
        <v>45477</v>
      </c>
      <c r="D344">
        <v>27</v>
      </c>
      <c r="E344" t="s">
        <v>12</v>
      </c>
      <c r="F344" t="s">
        <v>41</v>
      </c>
      <c r="G344" t="s">
        <v>18</v>
      </c>
      <c r="H344">
        <v>12784</v>
      </c>
      <c r="I344">
        <v>16</v>
      </c>
      <c r="J344">
        <v>79</v>
      </c>
      <c r="K344">
        <f t="shared" si="15"/>
        <v>0</v>
      </c>
      <c r="L344" s="4">
        <f t="shared" ca="1" si="16"/>
        <v>21</v>
      </c>
      <c r="M344" t="str">
        <f t="shared" si="17"/>
        <v>Jul-2024</v>
      </c>
      <c r="N344" t="s">
        <v>25</v>
      </c>
    </row>
    <row r="345" spans="1:14" x14ac:dyDescent="0.25">
      <c r="A345" t="s">
        <v>373</v>
      </c>
      <c r="B345" s="1">
        <v>45592</v>
      </c>
      <c r="C345" s="1">
        <v>45892</v>
      </c>
      <c r="D345">
        <v>18</v>
      </c>
      <c r="E345" t="s">
        <v>12</v>
      </c>
      <c r="F345" t="s">
        <v>29</v>
      </c>
      <c r="G345" t="s">
        <v>18</v>
      </c>
      <c r="H345">
        <v>7990</v>
      </c>
      <c r="I345">
        <v>10</v>
      </c>
      <c r="J345">
        <v>84</v>
      </c>
      <c r="K345">
        <f t="shared" si="15"/>
        <v>1</v>
      </c>
      <c r="L345" s="4">
        <f t="shared" ca="1" si="16"/>
        <v>10</v>
      </c>
      <c r="M345" t="str">
        <f t="shared" si="17"/>
        <v>Oct-2024</v>
      </c>
      <c r="N345" t="s">
        <v>19</v>
      </c>
    </row>
    <row r="346" spans="1:14" x14ac:dyDescent="0.25">
      <c r="A346" t="s">
        <v>374</v>
      </c>
      <c r="B346" s="1">
        <v>45510</v>
      </c>
      <c r="D346">
        <v>29</v>
      </c>
      <c r="E346" t="s">
        <v>21</v>
      </c>
      <c r="F346" t="s">
        <v>57</v>
      </c>
      <c r="G346" t="s">
        <v>18</v>
      </c>
      <c r="H346">
        <v>11985</v>
      </c>
      <c r="I346">
        <v>15</v>
      </c>
      <c r="J346">
        <v>69</v>
      </c>
      <c r="K346">
        <f t="shared" si="15"/>
        <v>0</v>
      </c>
      <c r="L346" s="4">
        <f t="shared" ca="1" si="16"/>
        <v>20</v>
      </c>
      <c r="M346" t="str">
        <f t="shared" si="17"/>
        <v>Aug-2024</v>
      </c>
      <c r="N346" t="s">
        <v>23</v>
      </c>
    </row>
    <row r="347" spans="1:14" x14ac:dyDescent="0.25">
      <c r="A347" t="s">
        <v>375</v>
      </c>
      <c r="B347" s="1">
        <v>45412</v>
      </c>
      <c r="D347">
        <v>44</v>
      </c>
      <c r="E347" t="s">
        <v>21</v>
      </c>
      <c r="F347" t="s">
        <v>47</v>
      </c>
      <c r="G347" t="s">
        <v>18</v>
      </c>
      <c r="H347">
        <v>14382</v>
      </c>
      <c r="I347">
        <v>18</v>
      </c>
      <c r="J347">
        <v>49</v>
      </c>
      <c r="K347">
        <f t="shared" si="15"/>
        <v>0</v>
      </c>
      <c r="L347" s="4">
        <f t="shared" ca="1" si="16"/>
        <v>23</v>
      </c>
      <c r="M347" t="str">
        <f t="shared" si="17"/>
        <v>Apr-2024</v>
      </c>
      <c r="N347" t="s">
        <v>19</v>
      </c>
    </row>
    <row r="348" spans="1:14" x14ac:dyDescent="0.25">
      <c r="A348" t="s">
        <v>376</v>
      </c>
      <c r="B348" s="1">
        <v>45401</v>
      </c>
      <c r="D348">
        <v>22</v>
      </c>
      <c r="E348" t="s">
        <v>12</v>
      </c>
      <c r="F348" t="s">
        <v>47</v>
      </c>
      <c r="G348" t="s">
        <v>18</v>
      </c>
      <c r="H348">
        <v>14382</v>
      </c>
      <c r="I348">
        <v>18</v>
      </c>
      <c r="J348">
        <v>49</v>
      </c>
      <c r="K348">
        <f t="shared" si="15"/>
        <v>0</v>
      </c>
      <c r="L348" s="4">
        <f t="shared" ca="1" si="16"/>
        <v>24</v>
      </c>
      <c r="M348" t="str">
        <f t="shared" si="17"/>
        <v>Apr-2024</v>
      </c>
      <c r="N348" t="s">
        <v>23</v>
      </c>
    </row>
    <row r="349" spans="1:14" x14ac:dyDescent="0.25">
      <c r="A349" t="s">
        <v>377</v>
      </c>
      <c r="B349" s="1">
        <v>44948</v>
      </c>
      <c r="D349">
        <v>42</v>
      </c>
      <c r="E349" t="s">
        <v>12</v>
      </c>
      <c r="F349" t="s">
        <v>17</v>
      </c>
      <c r="G349" t="s">
        <v>30</v>
      </c>
      <c r="H349">
        <v>24717</v>
      </c>
      <c r="I349">
        <v>33</v>
      </c>
      <c r="J349">
        <v>52</v>
      </c>
      <c r="K349">
        <f t="shared" si="15"/>
        <v>0</v>
      </c>
      <c r="L349" s="4">
        <f t="shared" ca="1" si="16"/>
        <v>39</v>
      </c>
      <c r="M349" t="str">
        <f t="shared" si="17"/>
        <v>Jan-2023</v>
      </c>
      <c r="N349" t="s">
        <v>23</v>
      </c>
    </row>
    <row r="350" spans="1:14" x14ac:dyDescent="0.25">
      <c r="A350" t="s">
        <v>378</v>
      </c>
      <c r="B350" s="1">
        <v>45802</v>
      </c>
      <c r="C350" s="1">
        <v>45862</v>
      </c>
      <c r="D350">
        <v>59</v>
      </c>
      <c r="E350" t="s">
        <v>21</v>
      </c>
      <c r="F350" t="s">
        <v>22</v>
      </c>
      <c r="G350" t="s">
        <v>18</v>
      </c>
      <c r="H350">
        <v>1598</v>
      </c>
      <c r="I350">
        <v>2</v>
      </c>
      <c r="J350">
        <v>48</v>
      </c>
      <c r="K350">
        <f t="shared" si="15"/>
        <v>1</v>
      </c>
      <c r="L350" s="4">
        <f t="shared" ca="1" si="16"/>
        <v>2</v>
      </c>
      <c r="M350" t="str">
        <f t="shared" si="17"/>
        <v>May-2025</v>
      </c>
      <c r="N350" t="s">
        <v>19</v>
      </c>
    </row>
    <row r="351" spans="1:14" x14ac:dyDescent="0.25">
      <c r="A351" t="s">
        <v>379</v>
      </c>
      <c r="B351" s="1">
        <v>45152</v>
      </c>
      <c r="D351">
        <v>40</v>
      </c>
      <c r="E351" t="s">
        <v>21</v>
      </c>
      <c r="F351" t="s">
        <v>27</v>
      </c>
      <c r="G351" t="s">
        <v>30</v>
      </c>
      <c r="H351">
        <v>20223</v>
      </c>
      <c r="I351">
        <v>27</v>
      </c>
      <c r="J351">
        <v>69</v>
      </c>
      <c r="K351">
        <f t="shared" si="15"/>
        <v>0</v>
      </c>
      <c r="L351" s="4">
        <f t="shared" ca="1" si="16"/>
        <v>32</v>
      </c>
      <c r="M351" t="str">
        <f t="shared" si="17"/>
        <v>Aug-2023</v>
      </c>
      <c r="N351" t="s">
        <v>19</v>
      </c>
    </row>
    <row r="352" spans="1:14" x14ac:dyDescent="0.25">
      <c r="A352" t="s">
        <v>380</v>
      </c>
      <c r="B352" s="1">
        <v>45785</v>
      </c>
      <c r="C352" s="1">
        <v>45935</v>
      </c>
      <c r="D352">
        <v>41</v>
      </c>
      <c r="E352" t="s">
        <v>21</v>
      </c>
      <c r="F352" t="s">
        <v>38</v>
      </c>
      <c r="G352" t="s">
        <v>18</v>
      </c>
      <c r="H352">
        <v>3995</v>
      </c>
      <c r="I352">
        <v>5</v>
      </c>
      <c r="J352">
        <v>77</v>
      </c>
      <c r="K352">
        <f t="shared" si="15"/>
        <v>1</v>
      </c>
      <c r="L352" s="4">
        <f t="shared" ca="1" si="16"/>
        <v>5</v>
      </c>
      <c r="M352" t="str">
        <f t="shared" si="17"/>
        <v>May-2025</v>
      </c>
      <c r="N352" t="s">
        <v>19</v>
      </c>
    </row>
    <row r="353" spans="1:14" x14ac:dyDescent="0.25">
      <c r="A353" t="s">
        <v>381</v>
      </c>
      <c r="B353" s="1">
        <v>45924</v>
      </c>
      <c r="C353" s="1">
        <v>45954</v>
      </c>
      <c r="D353">
        <v>47</v>
      </c>
      <c r="E353" t="s">
        <v>12</v>
      </c>
      <c r="F353" t="s">
        <v>41</v>
      </c>
      <c r="G353" t="s">
        <v>18</v>
      </c>
      <c r="H353">
        <v>799</v>
      </c>
      <c r="I353">
        <v>1</v>
      </c>
      <c r="J353">
        <v>42</v>
      </c>
      <c r="K353">
        <f t="shared" si="15"/>
        <v>1</v>
      </c>
      <c r="L353" s="4">
        <f t="shared" ca="1" si="16"/>
        <v>1</v>
      </c>
      <c r="M353" t="str">
        <f t="shared" si="17"/>
        <v>Sep-2025</v>
      </c>
      <c r="N353" t="s">
        <v>23</v>
      </c>
    </row>
    <row r="354" spans="1:14" x14ac:dyDescent="0.25">
      <c r="A354" t="s">
        <v>382</v>
      </c>
      <c r="B354" s="1">
        <v>45270</v>
      </c>
      <c r="D354">
        <v>39</v>
      </c>
      <c r="E354" t="s">
        <v>12</v>
      </c>
      <c r="F354" t="s">
        <v>27</v>
      </c>
      <c r="G354" t="s">
        <v>14</v>
      </c>
      <c r="H354">
        <v>16077</v>
      </c>
      <c r="I354">
        <v>23</v>
      </c>
      <c r="J354">
        <v>96</v>
      </c>
      <c r="K354">
        <f t="shared" si="15"/>
        <v>0</v>
      </c>
      <c r="L354" s="4">
        <f t="shared" ca="1" si="16"/>
        <v>28</v>
      </c>
      <c r="M354" t="str">
        <f t="shared" si="17"/>
        <v>Dec-2023</v>
      </c>
      <c r="N354" t="s">
        <v>19</v>
      </c>
    </row>
    <row r="355" spans="1:14" x14ac:dyDescent="0.25">
      <c r="A355" t="s">
        <v>383</v>
      </c>
      <c r="B355" s="1">
        <v>45901</v>
      </c>
      <c r="C355" s="1">
        <v>45931</v>
      </c>
      <c r="D355">
        <v>44</v>
      </c>
      <c r="E355" t="s">
        <v>12</v>
      </c>
      <c r="F355" t="s">
        <v>41</v>
      </c>
      <c r="G355" t="s">
        <v>30</v>
      </c>
      <c r="H355">
        <v>749</v>
      </c>
      <c r="I355">
        <v>1</v>
      </c>
      <c r="J355">
        <v>37</v>
      </c>
      <c r="K355">
        <f t="shared" si="15"/>
        <v>1</v>
      </c>
      <c r="L355" s="4">
        <f t="shared" ca="1" si="16"/>
        <v>1</v>
      </c>
      <c r="M355" t="str">
        <f t="shared" si="17"/>
        <v>Sep-2025</v>
      </c>
      <c r="N355" t="s">
        <v>23</v>
      </c>
    </row>
    <row r="356" spans="1:14" x14ac:dyDescent="0.25">
      <c r="A356" t="s">
        <v>384</v>
      </c>
      <c r="B356" s="1">
        <v>45950</v>
      </c>
      <c r="C356" s="1">
        <v>45962</v>
      </c>
      <c r="D356">
        <v>36</v>
      </c>
      <c r="E356" t="s">
        <v>21</v>
      </c>
      <c r="F356" t="s">
        <v>17</v>
      </c>
      <c r="G356" t="s">
        <v>18</v>
      </c>
      <c r="H356">
        <v>799</v>
      </c>
      <c r="I356">
        <v>1</v>
      </c>
      <c r="J356">
        <v>66</v>
      </c>
      <c r="K356">
        <f t="shared" si="15"/>
        <v>1</v>
      </c>
      <c r="L356" s="4">
        <f t="shared" ca="1" si="16"/>
        <v>1</v>
      </c>
      <c r="M356" t="str">
        <f t="shared" si="17"/>
        <v>Oct-2025</v>
      </c>
      <c r="N356" t="s">
        <v>23</v>
      </c>
    </row>
    <row r="357" spans="1:14" x14ac:dyDescent="0.25">
      <c r="A357" t="s">
        <v>385</v>
      </c>
      <c r="B357" s="1">
        <v>45431</v>
      </c>
      <c r="D357">
        <v>24</v>
      </c>
      <c r="E357" t="s">
        <v>12</v>
      </c>
      <c r="F357" t="s">
        <v>57</v>
      </c>
      <c r="G357" t="s">
        <v>30</v>
      </c>
      <c r="H357">
        <v>12733</v>
      </c>
      <c r="I357">
        <v>17</v>
      </c>
      <c r="J357">
        <v>65</v>
      </c>
      <c r="K357">
        <f t="shared" si="15"/>
        <v>0</v>
      </c>
      <c r="L357" s="4">
        <f t="shared" ca="1" si="16"/>
        <v>23</v>
      </c>
      <c r="M357" t="str">
        <f t="shared" si="17"/>
        <v>May-2024</v>
      </c>
      <c r="N357" t="s">
        <v>19</v>
      </c>
    </row>
    <row r="358" spans="1:14" x14ac:dyDescent="0.25">
      <c r="A358" t="s">
        <v>386</v>
      </c>
      <c r="B358" s="1">
        <v>45034</v>
      </c>
      <c r="D358">
        <v>52</v>
      </c>
      <c r="E358" t="s">
        <v>21</v>
      </c>
      <c r="F358" t="s">
        <v>27</v>
      </c>
      <c r="G358" t="s">
        <v>18</v>
      </c>
      <c r="H358">
        <v>23970</v>
      </c>
      <c r="I358">
        <v>30</v>
      </c>
      <c r="J358">
        <v>80</v>
      </c>
      <c r="K358">
        <f t="shared" si="15"/>
        <v>0</v>
      </c>
      <c r="L358" s="4">
        <f t="shared" ca="1" si="16"/>
        <v>36</v>
      </c>
      <c r="M358" t="str">
        <f t="shared" si="17"/>
        <v>Apr-2023</v>
      </c>
      <c r="N358" t="s">
        <v>19</v>
      </c>
    </row>
    <row r="359" spans="1:14" x14ac:dyDescent="0.25">
      <c r="A359" t="s">
        <v>387</v>
      </c>
      <c r="B359" s="1">
        <v>45899</v>
      </c>
      <c r="D359">
        <v>40</v>
      </c>
      <c r="E359" t="s">
        <v>12</v>
      </c>
      <c r="F359" t="s">
        <v>47</v>
      </c>
      <c r="G359" t="s">
        <v>18</v>
      </c>
      <c r="H359">
        <v>1598</v>
      </c>
      <c r="I359">
        <v>2</v>
      </c>
      <c r="J359">
        <v>2</v>
      </c>
      <c r="K359">
        <f t="shared" si="15"/>
        <v>0</v>
      </c>
      <c r="L359" s="4">
        <f t="shared" ca="1" si="16"/>
        <v>7</v>
      </c>
      <c r="M359" t="str">
        <f t="shared" si="17"/>
        <v>Aug-2025</v>
      </c>
      <c r="N359" t="s">
        <v>23</v>
      </c>
    </row>
    <row r="360" spans="1:14" x14ac:dyDescent="0.25">
      <c r="A360" t="s">
        <v>388</v>
      </c>
      <c r="B360" s="1">
        <v>45288</v>
      </c>
      <c r="D360">
        <v>25</v>
      </c>
      <c r="E360" t="s">
        <v>12</v>
      </c>
      <c r="F360" t="s">
        <v>17</v>
      </c>
      <c r="G360" t="s">
        <v>18</v>
      </c>
      <c r="H360">
        <v>17578</v>
      </c>
      <c r="I360">
        <v>22</v>
      </c>
      <c r="J360">
        <v>65</v>
      </c>
      <c r="K360">
        <f t="shared" si="15"/>
        <v>0</v>
      </c>
      <c r="L360" s="4">
        <f t="shared" ca="1" si="16"/>
        <v>27</v>
      </c>
      <c r="M360" t="str">
        <f t="shared" si="17"/>
        <v>Dec-2023</v>
      </c>
      <c r="N360" t="s">
        <v>19</v>
      </c>
    </row>
    <row r="361" spans="1:14" x14ac:dyDescent="0.25">
      <c r="A361" t="s">
        <v>389</v>
      </c>
      <c r="B361" s="1">
        <v>45213</v>
      </c>
      <c r="D361">
        <v>19</v>
      </c>
      <c r="E361" t="s">
        <v>21</v>
      </c>
      <c r="F361" t="s">
        <v>32</v>
      </c>
      <c r="G361" t="s">
        <v>18</v>
      </c>
      <c r="H361">
        <v>19176</v>
      </c>
      <c r="I361">
        <v>24</v>
      </c>
      <c r="J361">
        <v>33</v>
      </c>
      <c r="K361">
        <f t="shared" si="15"/>
        <v>0</v>
      </c>
      <c r="L361" s="4">
        <f t="shared" ca="1" si="16"/>
        <v>30</v>
      </c>
      <c r="M361" t="str">
        <f t="shared" si="17"/>
        <v>Oct-2023</v>
      </c>
      <c r="N361" t="s">
        <v>19</v>
      </c>
    </row>
    <row r="362" spans="1:14" x14ac:dyDescent="0.25">
      <c r="A362" t="s">
        <v>390</v>
      </c>
      <c r="B362" s="1">
        <v>45193</v>
      </c>
      <c r="C362" s="1">
        <v>45553</v>
      </c>
      <c r="D362">
        <v>58</v>
      </c>
      <c r="E362" t="s">
        <v>21</v>
      </c>
      <c r="F362" t="s">
        <v>27</v>
      </c>
      <c r="G362" t="s">
        <v>30</v>
      </c>
      <c r="H362">
        <v>8988</v>
      </c>
      <c r="I362">
        <v>12</v>
      </c>
      <c r="J362">
        <v>80</v>
      </c>
      <c r="K362">
        <f t="shared" si="15"/>
        <v>1</v>
      </c>
      <c r="L362" s="4">
        <f t="shared" ca="1" si="16"/>
        <v>12</v>
      </c>
      <c r="M362" t="str">
        <f t="shared" si="17"/>
        <v>Sep-2023</v>
      </c>
      <c r="N362" t="s">
        <v>19</v>
      </c>
    </row>
    <row r="363" spans="1:14" x14ac:dyDescent="0.25">
      <c r="A363" t="s">
        <v>391</v>
      </c>
      <c r="B363" s="1">
        <v>45121</v>
      </c>
      <c r="C363" s="1">
        <v>45361</v>
      </c>
      <c r="D363">
        <v>33</v>
      </c>
      <c r="E363" t="s">
        <v>12</v>
      </c>
      <c r="F363" t="s">
        <v>47</v>
      </c>
      <c r="G363" t="s">
        <v>18</v>
      </c>
      <c r="H363">
        <v>6392</v>
      </c>
      <c r="I363">
        <v>8</v>
      </c>
      <c r="J363">
        <v>92</v>
      </c>
      <c r="K363">
        <f t="shared" si="15"/>
        <v>1</v>
      </c>
      <c r="L363" s="4">
        <f t="shared" ca="1" si="16"/>
        <v>8</v>
      </c>
      <c r="M363" t="str">
        <f t="shared" si="17"/>
        <v>Jul-2023</v>
      </c>
      <c r="N363" t="s">
        <v>23</v>
      </c>
    </row>
    <row r="364" spans="1:14" x14ac:dyDescent="0.25">
      <c r="A364" t="s">
        <v>392</v>
      </c>
      <c r="B364" s="1">
        <v>45292</v>
      </c>
      <c r="C364" s="1">
        <v>45832</v>
      </c>
      <c r="D364">
        <v>22</v>
      </c>
      <c r="E364" t="s">
        <v>21</v>
      </c>
      <c r="F364" t="s">
        <v>17</v>
      </c>
      <c r="G364" t="s">
        <v>18</v>
      </c>
      <c r="H364">
        <v>14382</v>
      </c>
      <c r="I364">
        <v>18</v>
      </c>
      <c r="J364">
        <v>37</v>
      </c>
      <c r="K364">
        <f t="shared" si="15"/>
        <v>1</v>
      </c>
      <c r="L364" s="4">
        <f t="shared" ca="1" si="16"/>
        <v>18</v>
      </c>
      <c r="M364" t="str">
        <f t="shared" si="17"/>
        <v>Jan-2024</v>
      </c>
      <c r="N364" t="s">
        <v>15</v>
      </c>
    </row>
    <row r="365" spans="1:14" x14ac:dyDescent="0.25">
      <c r="A365" t="s">
        <v>393</v>
      </c>
      <c r="B365" s="1">
        <v>44994</v>
      </c>
      <c r="D365">
        <v>54</v>
      </c>
      <c r="E365" t="s">
        <v>21</v>
      </c>
      <c r="F365" t="s">
        <v>13</v>
      </c>
      <c r="G365" t="s">
        <v>18</v>
      </c>
      <c r="H365">
        <v>25568</v>
      </c>
      <c r="I365">
        <v>32</v>
      </c>
      <c r="J365">
        <v>69</v>
      </c>
      <c r="K365">
        <f t="shared" si="15"/>
        <v>0</v>
      </c>
      <c r="L365" s="4">
        <f t="shared" ca="1" si="16"/>
        <v>37</v>
      </c>
      <c r="M365" t="str">
        <f t="shared" si="17"/>
        <v>Mar-2023</v>
      </c>
      <c r="N365" t="s">
        <v>23</v>
      </c>
    </row>
    <row r="366" spans="1:14" x14ac:dyDescent="0.25">
      <c r="A366" t="s">
        <v>394</v>
      </c>
      <c r="B366" s="1">
        <v>45111</v>
      </c>
      <c r="D366">
        <v>57</v>
      </c>
      <c r="E366" t="s">
        <v>21</v>
      </c>
      <c r="F366" t="s">
        <v>27</v>
      </c>
      <c r="G366" t="s">
        <v>18</v>
      </c>
      <c r="H366">
        <v>22372</v>
      </c>
      <c r="I366">
        <v>28</v>
      </c>
      <c r="J366">
        <v>44</v>
      </c>
      <c r="K366">
        <f t="shared" si="15"/>
        <v>0</v>
      </c>
      <c r="L366" s="4">
        <f t="shared" ca="1" si="16"/>
        <v>33</v>
      </c>
      <c r="M366" t="str">
        <f t="shared" si="17"/>
        <v>Jul-2023</v>
      </c>
      <c r="N366" t="s">
        <v>19</v>
      </c>
    </row>
    <row r="367" spans="1:14" x14ac:dyDescent="0.25">
      <c r="A367" t="s">
        <v>395</v>
      </c>
      <c r="B367" s="1">
        <v>45952</v>
      </c>
      <c r="D367">
        <v>46</v>
      </c>
      <c r="E367" t="s">
        <v>12</v>
      </c>
      <c r="F367" t="s">
        <v>22</v>
      </c>
      <c r="G367" t="s">
        <v>18</v>
      </c>
      <c r="H367">
        <v>799</v>
      </c>
      <c r="I367">
        <v>1</v>
      </c>
      <c r="J367">
        <v>57</v>
      </c>
      <c r="K367">
        <f t="shared" si="15"/>
        <v>0</v>
      </c>
      <c r="L367" s="4">
        <f t="shared" ca="1" si="16"/>
        <v>5</v>
      </c>
      <c r="M367" t="str">
        <f t="shared" si="17"/>
        <v>Oct-2025</v>
      </c>
      <c r="N367" t="s">
        <v>23</v>
      </c>
    </row>
    <row r="368" spans="1:14" x14ac:dyDescent="0.25">
      <c r="A368" t="s">
        <v>396</v>
      </c>
      <c r="B368" s="1">
        <v>45876</v>
      </c>
      <c r="D368">
        <v>38</v>
      </c>
      <c r="E368" t="s">
        <v>12</v>
      </c>
      <c r="F368" t="s">
        <v>22</v>
      </c>
      <c r="G368" t="s">
        <v>18</v>
      </c>
      <c r="H368">
        <v>1598</v>
      </c>
      <c r="I368">
        <v>2</v>
      </c>
      <c r="J368">
        <v>77</v>
      </c>
      <c r="K368">
        <f t="shared" si="15"/>
        <v>0</v>
      </c>
      <c r="L368" s="4">
        <f t="shared" ca="1" si="16"/>
        <v>8</v>
      </c>
      <c r="M368" t="str">
        <f t="shared" si="17"/>
        <v>Aug-2025</v>
      </c>
      <c r="N368" t="s">
        <v>19</v>
      </c>
    </row>
    <row r="369" spans="1:14" x14ac:dyDescent="0.25">
      <c r="A369" t="s">
        <v>397</v>
      </c>
      <c r="B369" s="1">
        <v>45771</v>
      </c>
      <c r="D369">
        <v>38</v>
      </c>
      <c r="E369" t="s">
        <v>12</v>
      </c>
      <c r="F369" t="s">
        <v>22</v>
      </c>
      <c r="G369" t="s">
        <v>18</v>
      </c>
      <c r="H369">
        <v>4794</v>
      </c>
      <c r="I369">
        <v>6</v>
      </c>
      <c r="J369">
        <v>92</v>
      </c>
      <c r="K369">
        <f t="shared" si="15"/>
        <v>0</v>
      </c>
      <c r="L369" s="4">
        <f t="shared" ca="1" si="16"/>
        <v>11</v>
      </c>
      <c r="M369" t="str">
        <f t="shared" si="17"/>
        <v>Apr-2025</v>
      </c>
      <c r="N369" t="s">
        <v>23</v>
      </c>
    </row>
    <row r="370" spans="1:14" x14ac:dyDescent="0.25">
      <c r="A370" t="s">
        <v>398</v>
      </c>
      <c r="B370" s="1">
        <v>45668</v>
      </c>
      <c r="D370">
        <v>41</v>
      </c>
      <c r="E370" t="s">
        <v>12</v>
      </c>
      <c r="F370" t="s">
        <v>32</v>
      </c>
      <c r="G370" t="s">
        <v>18</v>
      </c>
      <c r="H370">
        <v>7191</v>
      </c>
      <c r="I370">
        <v>9</v>
      </c>
      <c r="J370">
        <v>43</v>
      </c>
      <c r="K370">
        <f t="shared" si="15"/>
        <v>0</v>
      </c>
      <c r="L370" s="4">
        <f t="shared" ca="1" si="16"/>
        <v>15</v>
      </c>
      <c r="M370" t="str">
        <f t="shared" si="17"/>
        <v>Jan-2025</v>
      </c>
      <c r="N370" t="s">
        <v>25</v>
      </c>
    </row>
    <row r="371" spans="1:14" x14ac:dyDescent="0.25">
      <c r="A371" t="s">
        <v>399</v>
      </c>
      <c r="B371" s="1">
        <v>45863</v>
      </c>
      <c r="C371" s="1">
        <v>45953</v>
      </c>
      <c r="D371">
        <v>32</v>
      </c>
      <c r="E371" t="s">
        <v>12</v>
      </c>
      <c r="F371" t="s">
        <v>38</v>
      </c>
      <c r="G371" t="s">
        <v>30</v>
      </c>
      <c r="H371">
        <v>2247</v>
      </c>
      <c r="I371">
        <v>3</v>
      </c>
      <c r="J371">
        <v>29</v>
      </c>
      <c r="K371">
        <f t="shared" si="15"/>
        <v>1</v>
      </c>
      <c r="L371" s="4">
        <f t="shared" ca="1" si="16"/>
        <v>3</v>
      </c>
      <c r="M371" t="str">
        <f t="shared" si="17"/>
        <v>Jul-2025</v>
      </c>
      <c r="N371" t="s">
        <v>19</v>
      </c>
    </row>
    <row r="372" spans="1:14" x14ac:dyDescent="0.25">
      <c r="A372" t="s">
        <v>400</v>
      </c>
      <c r="B372" s="1">
        <v>45001</v>
      </c>
      <c r="D372">
        <v>24</v>
      </c>
      <c r="E372" t="s">
        <v>21</v>
      </c>
      <c r="F372" t="s">
        <v>22</v>
      </c>
      <c r="G372" t="s">
        <v>18</v>
      </c>
      <c r="H372">
        <v>25568</v>
      </c>
      <c r="I372">
        <v>32</v>
      </c>
      <c r="J372">
        <v>97</v>
      </c>
      <c r="K372">
        <f t="shared" si="15"/>
        <v>0</v>
      </c>
      <c r="L372" s="4">
        <f t="shared" ca="1" si="16"/>
        <v>37</v>
      </c>
      <c r="M372" t="str">
        <f t="shared" si="17"/>
        <v>Mar-2023</v>
      </c>
      <c r="N372" t="s">
        <v>23</v>
      </c>
    </row>
    <row r="373" spans="1:14" x14ac:dyDescent="0.25">
      <c r="A373" t="s">
        <v>401</v>
      </c>
      <c r="B373" s="1">
        <v>44967</v>
      </c>
      <c r="D373">
        <v>24</v>
      </c>
      <c r="E373" t="s">
        <v>12</v>
      </c>
      <c r="F373" t="s">
        <v>17</v>
      </c>
      <c r="G373" t="s">
        <v>18</v>
      </c>
      <c r="H373">
        <v>26367</v>
      </c>
      <c r="I373">
        <v>33</v>
      </c>
      <c r="J373">
        <v>45</v>
      </c>
      <c r="K373">
        <f t="shared" si="15"/>
        <v>0</v>
      </c>
      <c r="L373" s="4">
        <f t="shared" ca="1" si="16"/>
        <v>38</v>
      </c>
      <c r="M373" t="str">
        <f t="shared" si="17"/>
        <v>Feb-2023</v>
      </c>
      <c r="N373" t="s">
        <v>15</v>
      </c>
    </row>
    <row r="374" spans="1:14" x14ac:dyDescent="0.25">
      <c r="A374" t="s">
        <v>402</v>
      </c>
      <c r="B374" s="1">
        <v>45272</v>
      </c>
      <c r="D374">
        <v>21</v>
      </c>
      <c r="E374" t="s">
        <v>21</v>
      </c>
      <c r="F374" t="s">
        <v>57</v>
      </c>
      <c r="G374" t="s">
        <v>18</v>
      </c>
      <c r="H374">
        <v>18377</v>
      </c>
      <c r="I374">
        <v>23</v>
      </c>
      <c r="J374">
        <v>92</v>
      </c>
      <c r="K374">
        <f t="shared" si="15"/>
        <v>0</v>
      </c>
      <c r="L374" s="4">
        <f t="shared" ca="1" si="16"/>
        <v>28</v>
      </c>
      <c r="M374" t="str">
        <f t="shared" si="17"/>
        <v>Dec-2023</v>
      </c>
      <c r="N374" t="s">
        <v>15</v>
      </c>
    </row>
    <row r="375" spans="1:14" x14ac:dyDescent="0.25">
      <c r="A375" t="s">
        <v>403</v>
      </c>
      <c r="B375" s="1">
        <v>45570</v>
      </c>
      <c r="D375">
        <v>29</v>
      </c>
      <c r="E375" t="s">
        <v>15</v>
      </c>
      <c r="F375" t="s">
        <v>38</v>
      </c>
      <c r="G375" t="s">
        <v>18</v>
      </c>
      <c r="H375">
        <v>10387</v>
      </c>
      <c r="I375">
        <v>13</v>
      </c>
      <c r="J375">
        <v>90</v>
      </c>
      <c r="K375">
        <f t="shared" si="15"/>
        <v>0</v>
      </c>
      <c r="L375" s="4">
        <f t="shared" ca="1" si="16"/>
        <v>18</v>
      </c>
      <c r="M375" t="str">
        <f t="shared" si="17"/>
        <v>Oct-2024</v>
      </c>
      <c r="N375" t="s">
        <v>23</v>
      </c>
    </row>
    <row r="376" spans="1:14" x14ac:dyDescent="0.25">
      <c r="A376" t="s">
        <v>404</v>
      </c>
      <c r="B376" s="1">
        <v>45848</v>
      </c>
      <c r="D376">
        <v>26</v>
      </c>
      <c r="E376" t="s">
        <v>21</v>
      </c>
      <c r="F376" t="s">
        <v>41</v>
      </c>
      <c r="G376" t="s">
        <v>18</v>
      </c>
      <c r="H376">
        <v>2397</v>
      </c>
      <c r="I376">
        <v>3</v>
      </c>
      <c r="J376">
        <v>54</v>
      </c>
      <c r="K376">
        <f t="shared" si="15"/>
        <v>0</v>
      </c>
      <c r="L376" s="4">
        <f t="shared" ca="1" si="16"/>
        <v>9</v>
      </c>
      <c r="M376" t="str">
        <f t="shared" si="17"/>
        <v>Jul-2025</v>
      </c>
      <c r="N376" t="s">
        <v>19</v>
      </c>
    </row>
    <row r="377" spans="1:14" x14ac:dyDescent="0.25">
      <c r="A377" t="s">
        <v>405</v>
      </c>
      <c r="B377" s="1">
        <v>45635</v>
      </c>
      <c r="D377">
        <v>22</v>
      </c>
      <c r="E377" t="s">
        <v>12</v>
      </c>
      <c r="F377" t="s">
        <v>57</v>
      </c>
      <c r="G377" t="s">
        <v>30</v>
      </c>
      <c r="H377">
        <v>7490</v>
      </c>
      <c r="I377">
        <v>10</v>
      </c>
      <c r="J377">
        <v>92</v>
      </c>
      <c r="K377">
        <f t="shared" si="15"/>
        <v>0</v>
      </c>
      <c r="L377" s="4">
        <f t="shared" ca="1" si="16"/>
        <v>16</v>
      </c>
      <c r="M377" t="str">
        <f t="shared" si="17"/>
        <v>Dec-2024</v>
      </c>
      <c r="N377" t="s">
        <v>15</v>
      </c>
    </row>
    <row r="378" spans="1:14" x14ac:dyDescent="0.25">
      <c r="A378" t="s">
        <v>406</v>
      </c>
      <c r="B378" s="1">
        <v>45050</v>
      </c>
      <c r="D378">
        <v>21</v>
      </c>
      <c r="E378" t="s">
        <v>21</v>
      </c>
      <c r="F378" t="s">
        <v>47</v>
      </c>
      <c r="G378" t="s">
        <v>18</v>
      </c>
      <c r="H378">
        <v>23970</v>
      </c>
      <c r="I378">
        <v>30</v>
      </c>
      <c r="J378">
        <v>28</v>
      </c>
      <c r="K378">
        <f t="shared" si="15"/>
        <v>0</v>
      </c>
      <c r="L378" s="4">
        <f t="shared" ca="1" si="16"/>
        <v>35</v>
      </c>
      <c r="M378" t="str">
        <f t="shared" si="17"/>
        <v>May-2023</v>
      </c>
      <c r="N378" t="s">
        <v>19</v>
      </c>
    </row>
    <row r="379" spans="1:14" x14ac:dyDescent="0.25">
      <c r="A379" t="s">
        <v>407</v>
      </c>
      <c r="B379" s="1">
        <v>45573</v>
      </c>
      <c r="D379">
        <v>35</v>
      </c>
      <c r="E379" t="s">
        <v>12</v>
      </c>
      <c r="F379" t="s">
        <v>27</v>
      </c>
      <c r="G379" t="s">
        <v>14</v>
      </c>
      <c r="H379">
        <v>8388</v>
      </c>
      <c r="I379">
        <v>12</v>
      </c>
      <c r="J379">
        <v>78</v>
      </c>
      <c r="K379">
        <f t="shared" si="15"/>
        <v>0</v>
      </c>
      <c r="L379" s="4">
        <f t="shared" ca="1" si="16"/>
        <v>18</v>
      </c>
      <c r="M379" t="str">
        <f t="shared" si="17"/>
        <v>Oct-2024</v>
      </c>
      <c r="N379" t="s">
        <v>15</v>
      </c>
    </row>
    <row r="380" spans="1:14" x14ac:dyDescent="0.25">
      <c r="A380" t="s">
        <v>408</v>
      </c>
      <c r="B380" s="1">
        <v>45042</v>
      </c>
      <c r="D380">
        <v>41</v>
      </c>
      <c r="E380" t="s">
        <v>21</v>
      </c>
      <c r="F380" t="s">
        <v>38</v>
      </c>
      <c r="G380" t="s">
        <v>18</v>
      </c>
      <c r="H380">
        <v>23970</v>
      </c>
      <c r="I380">
        <v>30</v>
      </c>
      <c r="J380">
        <v>67</v>
      </c>
      <c r="K380">
        <f t="shared" si="15"/>
        <v>0</v>
      </c>
      <c r="L380" s="4">
        <f t="shared" ca="1" si="16"/>
        <v>36</v>
      </c>
      <c r="M380" t="str">
        <f t="shared" si="17"/>
        <v>Apr-2023</v>
      </c>
      <c r="N380" t="s">
        <v>25</v>
      </c>
    </row>
    <row r="381" spans="1:14" x14ac:dyDescent="0.25">
      <c r="A381" t="s">
        <v>409</v>
      </c>
      <c r="B381" s="1">
        <v>45150</v>
      </c>
      <c r="D381">
        <v>46</v>
      </c>
      <c r="E381" t="s">
        <v>21</v>
      </c>
      <c r="F381" t="s">
        <v>47</v>
      </c>
      <c r="G381" t="s">
        <v>30</v>
      </c>
      <c r="H381">
        <v>20223</v>
      </c>
      <c r="I381">
        <v>27</v>
      </c>
      <c r="J381">
        <v>81</v>
      </c>
      <c r="K381">
        <f t="shared" si="15"/>
        <v>0</v>
      </c>
      <c r="L381" s="4">
        <f t="shared" ca="1" si="16"/>
        <v>32</v>
      </c>
      <c r="M381" t="str">
        <f t="shared" si="17"/>
        <v>Aug-2023</v>
      </c>
      <c r="N381" t="s">
        <v>19</v>
      </c>
    </row>
    <row r="382" spans="1:14" x14ac:dyDescent="0.25">
      <c r="A382" t="s">
        <v>410</v>
      </c>
      <c r="B382" s="1">
        <v>45497</v>
      </c>
      <c r="D382">
        <v>43</v>
      </c>
      <c r="E382" t="s">
        <v>12</v>
      </c>
      <c r="F382" t="s">
        <v>47</v>
      </c>
      <c r="G382" t="s">
        <v>18</v>
      </c>
      <c r="H382">
        <v>11985</v>
      </c>
      <c r="I382">
        <v>15</v>
      </c>
      <c r="J382">
        <v>85</v>
      </c>
      <c r="K382">
        <f t="shared" si="15"/>
        <v>0</v>
      </c>
      <c r="L382" s="4">
        <f t="shared" ca="1" si="16"/>
        <v>20</v>
      </c>
      <c r="M382" t="str">
        <f t="shared" si="17"/>
        <v>Jul-2024</v>
      </c>
      <c r="N382" t="s">
        <v>19</v>
      </c>
    </row>
    <row r="383" spans="1:14" x14ac:dyDescent="0.25">
      <c r="A383" t="s">
        <v>411</v>
      </c>
      <c r="B383" s="1">
        <v>45497</v>
      </c>
      <c r="D383">
        <v>31</v>
      </c>
      <c r="E383" t="s">
        <v>21</v>
      </c>
      <c r="F383" t="s">
        <v>47</v>
      </c>
      <c r="G383" t="s">
        <v>14</v>
      </c>
      <c r="H383">
        <v>10485</v>
      </c>
      <c r="I383">
        <v>15</v>
      </c>
      <c r="J383">
        <v>77</v>
      </c>
      <c r="K383">
        <f t="shared" si="15"/>
        <v>0</v>
      </c>
      <c r="L383" s="4">
        <f t="shared" ca="1" si="16"/>
        <v>20</v>
      </c>
      <c r="M383" t="str">
        <f t="shared" si="17"/>
        <v>Jul-2024</v>
      </c>
      <c r="N383" t="s">
        <v>23</v>
      </c>
    </row>
    <row r="384" spans="1:14" x14ac:dyDescent="0.25">
      <c r="A384" t="s">
        <v>412</v>
      </c>
      <c r="B384" s="1">
        <v>45105</v>
      </c>
      <c r="D384">
        <v>31</v>
      </c>
      <c r="E384" t="s">
        <v>12</v>
      </c>
      <c r="F384" t="s">
        <v>17</v>
      </c>
      <c r="G384" t="s">
        <v>18</v>
      </c>
      <c r="H384">
        <v>22372</v>
      </c>
      <c r="I384">
        <v>28</v>
      </c>
      <c r="J384">
        <v>59</v>
      </c>
      <c r="K384">
        <f t="shared" si="15"/>
        <v>0</v>
      </c>
      <c r="L384" s="4">
        <f t="shared" ca="1" si="16"/>
        <v>34</v>
      </c>
      <c r="M384" t="str">
        <f t="shared" si="17"/>
        <v>Jun-2023</v>
      </c>
      <c r="N384" t="s">
        <v>19</v>
      </c>
    </row>
    <row r="385" spans="1:14" x14ac:dyDescent="0.25">
      <c r="A385" t="s">
        <v>413</v>
      </c>
      <c r="B385" s="1">
        <v>45508</v>
      </c>
      <c r="D385">
        <v>58</v>
      </c>
      <c r="E385" t="s">
        <v>12</v>
      </c>
      <c r="F385" t="s">
        <v>22</v>
      </c>
      <c r="G385" t="s">
        <v>18</v>
      </c>
      <c r="H385">
        <v>11985</v>
      </c>
      <c r="I385">
        <v>15</v>
      </c>
      <c r="J385">
        <v>67</v>
      </c>
      <c r="K385">
        <f t="shared" si="15"/>
        <v>0</v>
      </c>
      <c r="L385" s="4">
        <f t="shared" ca="1" si="16"/>
        <v>20</v>
      </c>
      <c r="M385" t="str">
        <f t="shared" si="17"/>
        <v>Aug-2024</v>
      </c>
      <c r="N385" t="s">
        <v>23</v>
      </c>
    </row>
    <row r="386" spans="1:14" x14ac:dyDescent="0.25">
      <c r="A386" t="s">
        <v>414</v>
      </c>
      <c r="B386" s="1">
        <v>44964</v>
      </c>
      <c r="D386">
        <v>40</v>
      </c>
      <c r="E386" t="s">
        <v>21</v>
      </c>
      <c r="F386" t="s">
        <v>17</v>
      </c>
      <c r="G386" t="s">
        <v>18</v>
      </c>
      <c r="H386">
        <v>26367</v>
      </c>
      <c r="I386">
        <v>33</v>
      </c>
      <c r="J386">
        <v>59</v>
      </c>
      <c r="K386">
        <f t="shared" si="15"/>
        <v>0</v>
      </c>
      <c r="L386" s="4">
        <f t="shared" ca="1" si="16"/>
        <v>38</v>
      </c>
      <c r="M386" t="str">
        <f t="shared" si="17"/>
        <v>Feb-2023</v>
      </c>
      <c r="N386" t="s">
        <v>19</v>
      </c>
    </row>
    <row r="387" spans="1:14" x14ac:dyDescent="0.25">
      <c r="A387" t="s">
        <v>415</v>
      </c>
      <c r="B387" s="1">
        <v>45542</v>
      </c>
      <c r="D387">
        <v>28</v>
      </c>
      <c r="E387" t="s">
        <v>21</v>
      </c>
      <c r="F387" t="s">
        <v>17</v>
      </c>
      <c r="G387" t="s">
        <v>14</v>
      </c>
      <c r="H387">
        <v>9786</v>
      </c>
      <c r="I387">
        <v>14</v>
      </c>
      <c r="J387">
        <v>64</v>
      </c>
      <c r="K387">
        <f t="shared" ref="K387:K450" si="18">IF(ISBLANK(C387), 0, 1)</f>
        <v>0</v>
      </c>
      <c r="L387" s="4">
        <f t="shared" ref="L387:L450" ca="1" si="19">ROUNDUP(DATEDIF(B387, IF(ISBLANK(C387), TODAY(), C387), "d")/30, 0)</f>
        <v>19</v>
      </c>
      <c r="M387" t="str">
        <f t="shared" ref="M387:M450" si="20">TEXT(B387, "mmm-yyyy")</f>
        <v>Sep-2024</v>
      </c>
      <c r="N387" t="s">
        <v>19</v>
      </c>
    </row>
    <row r="388" spans="1:14" x14ac:dyDescent="0.25">
      <c r="A388" t="s">
        <v>416</v>
      </c>
      <c r="B388" s="1">
        <v>45914</v>
      </c>
      <c r="D388">
        <v>35</v>
      </c>
      <c r="E388" t="s">
        <v>12</v>
      </c>
      <c r="F388" t="s">
        <v>13</v>
      </c>
      <c r="G388" t="s">
        <v>18</v>
      </c>
      <c r="H388">
        <v>799</v>
      </c>
      <c r="I388">
        <v>1</v>
      </c>
      <c r="J388">
        <v>69</v>
      </c>
      <c r="K388">
        <f t="shared" si="18"/>
        <v>0</v>
      </c>
      <c r="L388" s="4">
        <f t="shared" ca="1" si="19"/>
        <v>7</v>
      </c>
      <c r="M388" t="str">
        <f t="shared" si="20"/>
        <v>Sep-2025</v>
      </c>
      <c r="N388" t="s">
        <v>19</v>
      </c>
    </row>
    <row r="389" spans="1:14" x14ac:dyDescent="0.25">
      <c r="A389" t="s">
        <v>417</v>
      </c>
      <c r="B389" s="1">
        <v>45286</v>
      </c>
      <c r="C389" s="1">
        <v>45586</v>
      </c>
      <c r="D389">
        <v>55</v>
      </c>
      <c r="E389" t="s">
        <v>12</v>
      </c>
      <c r="F389" t="s">
        <v>17</v>
      </c>
      <c r="G389" t="s">
        <v>18</v>
      </c>
      <c r="H389">
        <v>7990</v>
      </c>
      <c r="I389">
        <v>10</v>
      </c>
      <c r="J389">
        <v>78</v>
      </c>
      <c r="K389">
        <f t="shared" si="18"/>
        <v>1</v>
      </c>
      <c r="L389" s="4">
        <f t="shared" ca="1" si="19"/>
        <v>10</v>
      </c>
      <c r="M389" t="str">
        <f t="shared" si="20"/>
        <v>Dec-2023</v>
      </c>
      <c r="N389" t="s">
        <v>25</v>
      </c>
    </row>
    <row r="390" spans="1:14" x14ac:dyDescent="0.25">
      <c r="A390" t="s">
        <v>418</v>
      </c>
      <c r="B390" s="1">
        <v>45739</v>
      </c>
      <c r="D390">
        <v>52</v>
      </c>
      <c r="E390" t="s">
        <v>15</v>
      </c>
      <c r="F390" t="s">
        <v>57</v>
      </c>
      <c r="G390" t="s">
        <v>18</v>
      </c>
      <c r="H390">
        <v>5593</v>
      </c>
      <c r="I390">
        <v>7</v>
      </c>
      <c r="J390">
        <v>96</v>
      </c>
      <c r="K390">
        <f t="shared" si="18"/>
        <v>0</v>
      </c>
      <c r="L390" s="4">
        <f t="shared" ca="1" si="19"/>
        <v>12</v>
      </c>
      <c r="M390" t="str">
        <f t="shared" si="20"/>
        <v>Mar-2025</v>
      </c>
      <c r="N390" t="s">
        <v>19</v>
      </c>
    </row>
    <row r="391" spans="1:14" x14ac:dyDescent="0.25">
      <c r="A391" t="s">
        <v>419</v>
      </c>
      <c r="B391" s="1">
        <v>45624</v>
      </c>
      <c r="D391">
        <v>21</v>
      </c>
      <c r="E391" t="s">
        <v>12</v>
      </c>
      <c r="F391" t="s">
        <v>32</v>
      </c>
      <c r="G391" t="s">
        <v>18</v>
      </c>
      <c r="H391">
        <v>8789</v>
      </c>
      <c r="I391">
        <v>11</v>
      </c>
      <c r="J391">
        <v>57</v>
      </c>
      <c r="K391">
        <f t="shared" si="18"/>
        <v>0</v>
      </c>
      <c r="L391" s="4">
        <f t="shared" ca="1" si="19"/>
        <v>16</v>
      </c>
      <c r="M391" t="str">
        <f t="shared" si="20"/>
        <v>Nov-2024</v>
      </c>
      <c r="N391" t="s">
        <v>19</v>
      </c>
    </row>
    <row r="392" spans="1:14" x14ac:dyDescent="0.25">
      <c r="A392" t="s">
        <v>420</v>
      </c>
      <c r="B392" s="1">
        <v>45456</v>
      </c>
      <c r="C392" s="1">
        <v>45486</v>
      </c>
      <c r="D392">
        <v>20</v>
      </c>
      <c r="E392" t="s">
        <v>15</v>
      </c>
      <c r="F392" t="s">
        <v>47</v>
      </c>
      <c r="G392" t="s">
        <v>30</v>
      </c>
      <c r="H392">
        <v>749</v>
      </c>
      <c r="I392">
        <v>1</v>
      </c>
      <c r="J392">
        <v>86</v>
      </c>
      <c r="K392">
        <f t="shared" si="18"/>
        <v>1</v>
      </c>
      <c r="L392" s="4">
        <f t="shared" ca="1" si="19"/>
        <v>1</v>
      </c>
      <c r="M392" t="str">
        <f t="shared" si="20"/>
        <v>Jun-2024</v>
      </c>
      <c r="N392" t="s">
        <v>19</v>
      </c>
    </row>
    <row r="393" spans="1:14" x14ac:dyDescent="0.25">
      <c r="A393" t="s">
        <v>421</v>
      </c>
      <c r="B393" s="1">
        <v>45443</v>
      </c>
      <c r="D393">
        <v>41</v>
      </c>
      <c r="E393" t="s">
        <v>12</v>
      </c>
      <c r="F393" t="s">
        <v>57</v>
      </c>
      <c r="G393" t="s">
        <v>18</v>
      </c>
      <c r="H393">
        <v>13583</v>
      </c>
      <c r="I393">
        <v>17</v>
      </c>
      <c r="J393">
        <v>76</v>
      </c>
      <c r="K393">
        <f t="shared" si="18"/>
        <v>0</v>
      </c>
      <c r="L393" s="4">
        <f t="shared" ca="1" si="19"/>
        <v>22</v>
      </c>
      <c r="M393" t="str">
        <f t="shared" si="20"/>
        <v>May-2024</v>
      </c>
      <c r="N393" t="s">
        <v>19</v>
      </c>
    </row>
    <row r="394" spans="1:14" x14ac:dyDescent="0.25">
      <c r="A394" t="s">
        <v>422</v>
      </c>
      <c r="B394" s="1">
        <v>44964</v>
      </c>
      <c r="D394">
        <v>51</v>
      </c>
      <c r="E394" t="s">
        <v>21</v>
      </c>
      <c r="F394" t="s">
        <v>22</v>
      </c>
      <c r="G394" t="s">
        <v>30</v>
      </c>
      <c r="H394">
        <v>24717</v>
      </c>
      <c r="I394">
        <v>33</v>
      </c>
      <c r="J394">
        <v>75</v>
      </c>
      <c r="K394">
        <f t="shared" si="18"/>
        <v>0</v>
      </c>
      <c r="L394" s="4">
        <f t="shared" ca="1" si="19"/>
        <v>38</v>
      </c>
      <c r="M394" t="str">
        <f t="shared" si="20"/>
        <v>Feb-2023</v>
      </c>
      <c r="N394" t="s">
        <v>19</v>
      </c>
    </row>
    <row r="395" spans="1:14" x14ac:dyDescent="0.25">
      <c r="A395" t="s">
        <v>423</v>
      </c>
      <c r="B395" s="1">
        <v>45606</v>
      </c>
      <c r="D395">
        <v>31</v>
      </c>
      <c r="E395" t="s">
        <v>15</v>
      </c>
      <c r="F395" t="s">
        <v>57</v>
      </c>
      <c r="G395" t="s">
        <v>18</v>
      </c>
      <c r="H395">
        <v>8789</v>
      </c>
      <c r="I395">
        <v>11</v>
      </c>
      <c r="J395">
        <v>44</v>
      </c>
      <c r="K395">
        <f t="shared" si="18"/>
        <v>0</v>
      </c>
      <c r="L395" s="4">
        <f t="shared" ca="1" si="19"/>
        <v>17</v>
      </c>
      <c r="M395" t="str">
        <f t="shared" si="20"/>
        <v>Nov-2024</v>
      </c>
      <c r="N395" t="s">
        <v>19</v>
      </c>
    </row>
    <row r="396" spans="1:14" x14ac:dyDescent="0.25">
      <c r="A396" t="s">
        <v>424</v>
      </c>
      <c r="B396" s="1">
        <v>45682</v>
      </c>
      <c r="D396">
        <v>31</v>
      </c>
      <c r="E396" t="s">
        <v>12</v>
      </c>
      <c r="F396" t="s">
        <v>29</v>
      </c>
      <c r="G396" t="s">
        <v>18</v>
      </c>
      <c r="H396">
        <v>7191</v>
      </c>
      <c r="I396">
        <v>9</v>
      </c>
      <c r="J396">
        <v>71</v>
      </c>
      <c r="K396">
        <f t="shared" si="18"/>
        <v>0</v>
      </c>
      <c r="L396" s="4">
        <f t="shared" ca="1" si="19"/>
        <v>14</v>
      </c>
      <c r="M396" t="str">
        <f t="shared" si="20"/>
        <v>Jan-2025</v>
      </c>
      <c r="N396" t="s">
        <v>19</v>
      </c>
    </row>
    <row r="397" spans="1:14" x14ac:dyDescent="0.25">
      <c r="A397" t="s">
        <v>425</v>
      </c>
      <c r="B397" s="1">
        <v>45738</v>
      </c>
      <c r="C397" s="1">
        <v>45858</v>
      </c>
      <c r="D397">
        <v>36</v>
      </c>
      <c r="E397" t="s">
        <v>21</v>
      </c>
      <c r="F397" t="s">
        <v>27</v>
      </c>
      <c r="G397" t="s">
        <v>18</v>
      </c>
      <c r="H397">
        <v>3196</v>
      </c>
      <c r="I397">
        <v>4</v>
      </c>
      <c r="J397">
        <v>39</v>
      </c>
      <c r="K397">
        <f t="shared" si="18"/>
        <v>1</v>
      </c>
      <c r="L397" s="4">
        <f t="shared" ca="1" si="19"/>
        <v>4</v>
      </c>
      <c r="M397" t="str">
        <f t="shared" si="20"/>
        <v>Mar-2025</v>
      </c>
      <c r="N397" t="s">
        <v>19</v>
      </c>
    </row>
    <row r="398" spans="1:14" x14ac:dyDescent="0.25">
      <c r="A398" t="s">
        <v>426</v>
      </c>
      <c r="B398" s="1">
        <v>45384</v>
      </c>
      <c r="D398">
        <v>31</v>
      </c>
      <c r="E398" t="s">
        <v>21</v>
      </c>
      <c r="F398" t="s">
        <v>22</v>
      </c>
      <c r="G398" t="s">
        <v>18</v>
      </c>
      <c r="H398">
        <v>15181</v>
      </c>
      <c r="I398">
        <v>19</v>
      </c>
      <c r="J398">
        <v>50</v>
      </c>
      <c r="K398">
        <f t="shared" si="18"/>
        <v>0</v>
      </c>
      <c r="L398" s="4">
        <f t="shared" ca="1" si="19"/>
        <v>24</v>
      </c>
      <c r="M398" t="str">
        <f t="shared" si="20"/>
        <v>Apr-2024</v>
      </c>
      <c r="N398" t="s">
        <v>15</v>
      </c>
    </row>
    <row r="399" spans="1:14" x14ac:dyDescent="0.25">
      <c r="A399" t="s">
        <v>427</v>
      </c>
      <c r="B399" s="1">
        <v>45120</v>
      </c>
      <c r="D399">
        <v>22</v>
      </c>
      <c r="E399" t="s">
        <v>12</v>
      </c>
      <c r="F399" t="s">
        <v>57</v>
      </c>
      <c r="G399" t="s">
        <v>18</v>
      </c>
      <c r="H399">
        <v>22372</v>
      </c>
      <c r="I399">
        <v>28</v>
      </c>
      <c r="J399">
        <v>62</v>
      </c>
      <c r="K399">
        <f t="shared" si="18"/>
        <v>0</v>
      </c>
      <c r="L399" s="4">
        <f t="shared" ca="1" si="19"/>
        <v>33</v>
      </c>
      <c r="M399" t="str">
        <f t="shared" si="20"/>
        <v>Jul-2023</v>
      </c>
      <c r="N399" t="s">
        <v>23</v>
      </c>
    </row>
    <row r="400" spans="1:14" x14ac:dyDescent="0.25">
      <c r="A400" t="s">
        <v>428</v>
      </c>
      <c r="B400" s="1">
        <v>45860</v>
      </c>
      <c r="D400">
        <v>34</v>
      </c>
      <c r="E400" t="s">
        <v>21</v>
      </c>
      <c r="F400" t="s">
        <v>22</v>
      </c>
      <c r="G400" t="s">
        <v>18</v>
      </c>
      <c r="H400">
        <v>2397</v>
      </c>
      <c r="I400">
        <v>3</v>
      </c>
      <c r="J400">
        <v>38</v>
      </c>
      <c r="K400">
        <f t="shared" si="18"/>
        <v>0</v>
      </c>
      <c r="L400" s="4">
        <f t="shared" ca="1" si="19"/>
        <v>8</v>
      </c>
      <c r="M400" t="str">
        <f t="shared" si="20"/>
        <v>Jul-2025</v>
      </c>
      <c r="N400" t="s">
        <v>23</v>
      </c>
    </row>
    <row r="401" spans="1:14" x14ac:dyDescent="0.25">
      <c r="A401" t="s">
        <v>429</v>
      </c>
      <c r="B401" s="1">
        <v>45170</v>
      </c>
      <c r="D401">
        <v>24</v>
      </c>
      <c r="E401" t="s">
        <v>21</v>
      </c>
      <c r="F401" t="s">
        <v>47</v>
      </c>
      <c r="G401" t="s">
        <v>14</v>
      </c>
      <c r="H401">
        <v>18174</v>
      </c>
      <c r="I401">
        <v>26</v>
      </c>
      <c r="J401">
        <v>54</v>
      </c>
      <c r="K401">
        <f t="shared" si="18"/>
        <v>0</v>
      </c>
      <c r="L401" s="4">
        <f t="shared" ca="1" si="19"/>
        <v>31</v>
      </c>
      <c r="M401" t="str">
        <f t="shared" si="20"/>
        <v>Sep-2023</v>
      </c>
      <c r="N401" t="s">
        <v>23</v>
      </c>
    </row>
    <row r="402" spans="1:14" x14ac:dyDescent="0.25">
      <c r="A402" t="s">
        <v>430</v>
      </c>
      <c r="B402" s="1">
        <v>45884</v>
      </c>
      <c r="C402" s="1">
        <v>45944</v>
      </c>
      <c r="D402">
        <v>43</v>
      </c>
      <c r="E402" t="s">
        <v>12</v>
      </c>
      <c r="F402" t="s">
        <v>17</v>
      </c>
      <c r="G402" t="s">
        <v>18</v>
      </c>
      <c r="H402">
        <v>1598</v>
      </c>
      <c r="I402">
        <v>2</v>
      </c>
      <c r="J402">
        <v>71</v>
      </c>
      <c r="K402">
        <f t="shared" si="18"/>
        <v>1</v>
      </c>
      <c r="L402" s="4">
        <f t="shared" ca="1" si="19"/>
        <v>2</v>
      </c>
      <c r="M402" t="str">
        <f t="shared" si="20"/>
        <v>Aug-2025</v>
      </c>
      <c r="N402" t="s">
        <v>19</v>
      </c>
    </row>
    <row r="403" spans="1:14" x14ac:dyDescent="0.25">
      <c r="A403" t="s">
        <v>431</v>
      </c>
      <c r="B403" s="1">
        <v>45049</v>
      </c>
      <c r="D403">
        <v>46</v>
      </c>
      <c r="E403" t="s">
        <v>21</v>
      </c>
      <c r="F403" t="s">
        <v>13</v>
      </c>
      <c r="G403" t="s">
        <v>14</v>
      </c>
      <c r="H403">
        <v>20970</v>
      </c>
      <c r="I403">
        <v>30</v>
      </c>
      <c r="J403">
        <v>88</v>
      </c>
      <c r="K403">
        <f t="shared" si="18"/>
        <v>0</v>
      </c>
      <c r="L403" s="4">
        <f t="shared" ca="1" si="19"/>
        <v>35</v>
      </c>
      <c r="M403" t="str">
        <f t="shared" si="20"/>
        <v>May-2023</v>
      </c>
      <c r="N403" t="s">
        <v>19</v>
      </c>
    </row>
    <row r="404" spans="1:14" x14ac:dyDescent="0.25">
      <c r="A404" t="s">
        <v>432</v>
      </c>
      <c r="B404" s="1">
        <v>44881</v>
      </c>
      <c r="D404">
        <v>20</v>
      </c>
      <c r="E404" t="s">
        <v>21</v>
      </c>
      <c r="F404" t="s">
        <v>41</v>
      </c>
      <c r="G404" t="s">
        <v>18</v>
      </c>
      <c r="H404">
        <v>28764</v>
      </c>
      <c r="I404">
        <v>36</v>
      </c>
      <c r="J404">
        <v>75</v>
      </c>
      <c r="K404">
        <f t="shared" si="18"/>
        <v>0</v>
      </c>
      <c r="L404" s="4">
        <f t="shared" ca="1" si="19"/>
        <v>41</v>
      </c>
      <c r="M404" t="str">
        <f t="shared" si="20"/>
        <v>Nov-2022</v>
      </c>
      <c r="N404" t="s">
        <v>23</v>
      </c>
    </row>
    <row r="405" spans="1:14" x14ac:dyDescent="0.25">
      <c r="A405" t="s">
        <v>433</v>
      </c>
      <c r="B405" s="1">
        <v>45660</v>
      </c>
      <c r="D405">
        <v>23</v>
      </c>
      <c r="E405" t="s">
        <v>21</v>
      </c>
      <c r="F405" t="s">
        <v>41</v>
      </c>
      <c r="G405" t="s">
        <v>18</v>
      </c>
      <c r="H405">
        <v>7990</v>
      </c>
      <c r="I405">
        <v>10</v>
      </c>
      <c r="J405">
        <v>59</v>
      </c>
      <c r="K405">
        <f t="shared" si="18"/>
        <v>0</v>
      </c>
      <c r="L405" s="4">
        <f t="shared" ca="1" si="19"/>
        <v>15</v>
      </c>
      <c r="M405" t="str">
        <f t="shared" si="20"/>
        <v>Jan-2025</v>
      </c>
      <c r="N405" t="s">
        <v>25</v>
      </c>
    </row>
    <row r="406" spans="1:14" x14ac:dyDescent="0.25">
      <c r="A406" t="s">
        <v>434</v>
      </c>
      <c r="B406" s="1">
        <v>45281</v>
      </c>
      <c r="D406">
        <v>50</v>
      </c>
      <c r="E406" t="s">
        <v>21</v>
      </c>
      <c r="F406" t="s">
        <v>27</v>
      </c>
      <c r="G406" t="s">
        <v>18</v>
      </c>
      <c r="H406">
        <v>17578</v>
      </c>
      <c r="I406">
        <v>22</v>
      </c>
      <c r="J406">
        <v>89</v>
      </c>
      <c r="K406">
        <f t="shared" si="18"/>
        <v>0</v>
      </c>
      <c r="L406" s="4">
        <f t="shared" ca="1" si="19"/>
        <v>28</v>
      </c>
      <c r="M406" t="str">
        <f t="shared" si="20"/>
        <v>Dec-2023</v>
      </c>
      <c r="N406" t="s">
        <v>19</v>
      </c>
    </row>
    <row r="407" spans="1:14" x14ac:dyDescent="0.25">
      <c r="A407" t="s">
        <v>435</v>
      </c>
      <c r="B407" s="1">
        <v>44970</v>
      </c>
      <c r="C407" s="1">
        <v>45360</v>
      </c>
      <c r="D407">
        <v>57</v>
      </c>
      <c r="E407" t="s">
        <v>21</v>
      </c>
      <c r="F407" t="s">
        <v>41</v>
      </c>
      <c r="G407" t="s">
        <v>18</v>
      </c>
      <c r="H407">
        <v>10387</v>
      </c>
      <c r="I407">
        <v>13</v>
      </c>
      <c r="J407">
        <v>40</v>
      </c>
      <c r="K407">
        <f t="shared" si="18"/>
        <v>1</v>
      </c>
      <c r="L407" s="4">
        <f t="shared" ca="1" si="19"/>
        <v>13</v>
      </c>
      <c r="M407" t="str">
        <f t="shared" si="20"/>
        <v>Feb-2023</v>
      </c>
      <c r="N407" t="s">
        <v>25</v>
      </c>
    </row>
    <row r="408" spans="1:14" x14ac:dyDescent="0.25">
      <c r="A408" t="s">
        <v>436</v>
      </c>
      <c r="B408" s="1">
        <v>45901</v>
      </c>
      <c r="D408">
        <v>39</v>
      </c>
      <c r="E408" t="s">
        <v>21</v>
      </c>
      <c r="F408" t="s">
        <v>22</v>
      </c>
      <c r="G408" t="s">
        <v>30</v>
      </c>
      <c r="H408">
        <v>1498</v>
      </c>
      <c r="I408">
        <v>2</v>
      </c>
      <c r="J408">
        <v>100</v>
      </c>
      <c r="K408">
        <f t="shared" si="18"/>
        <v>0</v>
      </c>
      <c r="L408" s="4">
        <f t="shared" ca="1" si="19"/>
        <v>7</v>
      </c>
      <c r="M408" t="str">
        <f t="shared" si="20"/>
        <v>Sep-2025</v>
      </c>
      <c r="N408" t="s">
        <v>19</v>
      </c>
    </row>
    <row r="409" spans="1:14" x14ac:dyDescent="0.25">
      <c r="A409" t="s">
        <v>437</v>
      </c>
      <c r="B409" s="1">
        <v>45003</v>
      </c>
      <c r="D409">
        <v>52</v>
      </c>
      <c r="E409" t="s">
        <v>21</v>
      </c>
      <c r="F409" t="s">
        <v>47</v>
      </c>
      <c r="G409" t="s">
        <v>18</v>
      </c>
      <c r="H409">
        <v>24769</v>
      </c>
      <c r="I409">
        <v>31</v>
      </c>
      <c r="J409">
        <v>55</v>
      </c>
      <c r="K409">
        <f t="shared" si="18"/>
        <v>0</v>
      </c>
      <c r="L409" s="4">
        <f t="shared" ca="1" si="19"/>
        <v>37</v>
      </c>
      <c r="M409" t="str">
        <f t="shared" si="20"/>
        <v>Mar-2023</v>
      </c>
      <c r="N409" t="s">
        <v>19</v>
      </c>
    </row>
    <row r="410" spans="1:14" x14ac:dyDescent="0.25">
      <c r="A410" t="s">
        <v>438</v>
      </c>
      <c r="B410" s="1">
        <v>45877</v>
      </c>
      <c r="D410">
        <v>29</v>
      </c>
      <c r="E410" t="s">
        <v>15</v>
      </c>
      <c r="F410" t="s">
        <v>27</v>
      </c>
      <c r="G410" t="s">
        <v>18</v>
      </c>
      <c r="H410">
        <v>1598</v>
      </c>
      <c r="I410">
        <v>2</v>
      </c>
      <c r="J410">
        <v>74</v>
      </c>
      <c r="K410">
        <f t="shared" si="18"/>
        <v>0</v>
      </c>
      <c r="L410" s="4">
        <f t="shared" ca="1" si="19"/>
        <v>8</v>
      </c>
      <c r="M410" t="str">
        <f t="shared" si="20"/>
        <v>Aug-2025</v>
      </c>
      <c r="N410" t="s">
        <v>15</v>
      </c>
    </row>
    <row r="411" spans="1:14" x14ac:dyDescent="0.25">
      <c r="A411" t="s">
        <v>439</v>
      </c>
      <c r="B411" s="1">
        <v>45903</v>
      </c>
      <c r="C411" s="1">
        <v>45933</v>
      </c>
      <c r="D411">
        <v>41</v>
      </c>
      <c r="E411" t="s">
        <v>12</v>
      </c>
      <c r="F411" t="s">
        <v>13</v>
      </c>
      <c r="G411" t="s">
        <v>18</v>
      </c>
      <c r="H411">
        <v>799</v>
      </c>
      <c r="I411">
        <v>1</v>
      </c>
      <c r="J411">
        <v>0</v>
      </c>
      <c r="K411">
        <f t="shared" si="18"/>
        <v>1</v>
      </c>
      <c r="L411" s="4">
        <f t="shared" ca="1" si="19"/>
        <v>1</v>
      </c>
      <c r="M411" t="str">
        <f t="shared" si="20"/>
        <v>Sep-2025</v>
      </c>
      <c r="N411" t="s">
        <v>19</v>
      </c>
    </row>
    <row r="412" spans="1:14" x14ac:dyDescent="0.25">
      <c r="A412" t="s">
        <v>440</v>
      </c>
      <c r="B412" s="1">
        <v>45013</v>
      </c>
      <c r="D412">
        <v>56</v>
      </c>
      <c r="E412" t="s">
        <v>12</v>
      </c>
      <c r="F412" t="s">
        <v>32</v>
      </c>
      <c r="G412" t="s">
        <v>30</v>
      </c>
      <c r="H412">
        <v>23219</v>
      </c>
      <c r="I412">
        <v>31</v>
      </c>
      <c r="J412">
        <v>35</v>
      </c>
      <c r="K412">
        <f t="shared" si="18"/>
        <v>0</v>
      </c>
      <c r="L412" s="4">
        <f t="shared" ca="1" si="19"/>
        <v>37</v>
      </c>
      <c r="M412" t="str">
        <f t="shared" si="20"/>
        <v>Mar-2023</v>
      </c>
      <c r="N412" t="s">
        <v>19</v>
      </c>
    </row>
    <row r="413" spans="1:14" x14ac:dyDescent="0.25">
      <c r="A413" t="s">
        <v>441</v>
      </c>
      <c r="B413" s="1">
        <v>45160</v>
      </c>
      <c r="D413">
        <v>24</v>
      </c>
      <c r="E413" t="s">
        <v>12</v>
      </c>
      <c r="F413" t="s">
        <v>13</v>
      </c>
      <c r="G413" t="s">
        <v>30</v>
      </c>
      <c r="H413">
        <v>19474</v>
      </c>
      <c r="I413">
        <v>26</v>
      </c>
      <c r="J413">
        <v>22</v>
      </c>
      <c r="K413">
        <f t="shared" si="18"/>
        <v>0</v>
      </c>
      <c r="L413" s="4">
        <f t="shared" ca="1" si="19"/>
        <v>32</v>
      </c>
      <c r="M413" t="str">
        <f t="shared" si="20"/>
        <v>Aug-2023</v>
      </c>
      <c r="N413" t="s">
        <v>19</v>
      </c>
    </row>
    <row r="414" spans="1:14" x14ac:dyDescent="0.25">
      <c r="A414" t="s">
        <v>442</v>
      </c>
      <c r="B414" s="1">
        <v>45675</v>
      </c>
      <c r="D414">
        <v>51</v>
      </c>
      <c r="E414" t="s">
        <v>12</v>
      </c>
      <c r="F414" t="s">
        <v>47</v>
      </c>
      <c r="G414" t="s">
        <v>30</v>
      </c>
      <c r="H414">
        <v>6741</v>
      </c>
      <c r="I414">
        <v>9</v>
      </c>
      <c r="J414">
        <v>82</v>
      </c>
      <c r="K414">
        <f t="shared" si="18"/>
        <v>0</v>
      </c>
      <c r="L414" s="4">
        <f t="shared" ca="1" si="19"/>
        <v>15</v>
      </c>
      <c r="M414" t="str">
        <f t="shared" si="20"/>
        <v>Jan-2025</v>
      </c>
      <c r="N414" t="s">
        <v>19</v>
      </c>
    </row>
    <row r="415" spans="1:14" x14ac:dyDescent="0.25">
      <c r="A415" t="s">
        <v>443</v>
      </c>
      <c r="B415" s="1">
        <v>45956</v>
      </c>
      <c r="D415">
        <v>53</v>
      </c>
      <c r="E415" t="s">
        <v>12</v>
      </c>
      <c r="F415" t="s">
        <v>47</v>
      </c>
      <c r="G415" t="s">
        <v>18</v>
      </c>
      <c r="H415">
        <v>799</v>
      </c>
      <c r="I415">
        <v>1</v>
      </c>
      <c r="J415">
        <v>72</v>
      </c>
      <c r="K415">
        <f t="shared" si="18"/>
        <v>0</v>
      </c>
      <c r="L415" s="4">
        <f t="shared" ca="1" si="19"/>
        <v>5</v>
      </c>
      <c r="M415" t="str">
        <f t="shared" si="20"/>
        <v>Oct-2025</v>
      </c>
      <c r="N415" t="s">
        <v>25</v>
      </c>
    </row>
    <row r="416" spans="1:14" x14ac:dyDescent="0.25">
      <c r="A416" t="s">
        <v>444</v>
      </c>
      <c r="B416" s="1">
        <v>45065</v>
      </c>
      <c r="D416">
        <v>46</v>
      </c>
      <c r="E416" t="s">
        <v>21</v>
      </c>
      <c r="F416" t="s">
        <v>57</v>
      </c>
      <c r="G416" t="s">
        <v>30</v>
      </c>
      <c r="H416">
        <v>21721</v>
      </c>
      <c r="I416">
        <v>29</v>
      </c>
      <c r="J416">
        <v>30</v>
      </c>
      <c r="K416">
        <f t="shared" si="18"/>
        <v>0</v>
      </c>
      <c r="L416" s="4">
        <f t="shared" ca="1" si="19"/>
        <v>35</v>
      </c>
      <c r="M416" t="str">
        <f t="shared" si="20"/>
        <v>May-2023</v>
      </c>
      <c r="N416" t="s">
        <v>15</v>
      </c>
    </row>
    <row r="417" spans="1:14" x14ac:dyDescent="0.25">
      <c r="A417" t="s">
        <v>445</v>
      </c>
      <c r="B417" s="1">
        <v>45946</v>
      </c>
      <c r="C417" s="1">
        <v>45962</v>
      </c>
      <c r="D417">
        <v>30</v>
      </c>
      <c r="E417" t="s">
        <v>21</v>
      </c>
      <c r="F417" t="s">
        <v>13</v>
      </c>
      <c r="G417" t="s">
        <v>18</v>
      </c>
      <c r="H417">
        <v>799</v>
      </c>
      <c r="I417">
        <v>1</v>
      </c>
      <c r="J417">
        <v>100</v>
      </c>
      <c r="K417">
        <f t="shared" si="18"/>
        <v>1</v>
      </c>
      <c r="L417" s="4">
        <f t="shared" ca="1" si="19"/>
        <v>1</v>
      </c>
      <c r="M417" t="str">
        <f t="shared" si="20"/>
        <v>Oct-2025</v>
      </c>
      <c r="N417" t="s">
        <v>25</v>
      </c>
    </row>
    <row r="418" spans="1:14" x14ac:dyDescent="0.25">
      <c r="A418" t="s">
        <v>446</v>
      </c>
      <c r="B418" s="1">
        <v>45861</v>
      </c>
      <c r="D418">
        <v>43</v>
      </c>
      <c r="E418" t="s">
        <v>12</v>
      </c>
      <c r="F418" t="s">
        <v>22</v>
      </c>
      <c r="G418" t="s">
        <v>14</v>
      </c>
      <c r="H418">
        <v>2097</v>
      </c>
      <c r="I418">
        <v>3</v>
      </c>
      <c r="J418">
        <v>76</v>
      </c>
      <c r="K418">
        <f t="shared" si="18"/>
        <v>0</v>
      </c>
      <c r="L418" s="4">
        <f t="shared" ca="1" si="19"/>
        <v>8</v>
      </c>
      <c r="M418" t="str">
        <f t="shared" si="20"/>
        <v>Jul-2025</v>
      </c>
      <c r="N418" t="s">
        <v>25</v>
      </c>
    </row>
    <row r="419" spans="1:14" x14ac:dyDescent="0.25">
      <c r="A419" t="s">
        <v>447</v>
      </c>
      <c r="B419" s="1">
        <v>45942</v>
      </c>
      <c r="D419">
        <v>44</v>
      </c>
      <c r="E419" t="s">
        <v>12</v>
      </c>
      <c r="F419" t="s">
        <v>32</v>
      </c>
      <c r="G419" t="s">
        <v>18</v>
      </c>
      <c r="H419">
        <v>799</v>
      </c>
      <c r="I419">
        <v>1</v>
      </c>
      <c r="J419">
        <v>59</v>
      </c>
      <c r="K419">
        <f t="shared" si="18"/>
        <v>0</v>
      </c>
      <c r="L419" s="4">
        <f t="shared" ca="1" si="19"/>
        <v>6</v>
      </c>
      <c r="M419" t="str">
        <f t="shared" si="20"/>
        <v>Oct-2025</v>
      </c>
      <c r="N419" t="s">
        <v>19</v>
      </c>
    </row>
    <row r="420" spans="1:14" x14ac:dyDescent="0.25">
      <c r="A420" t="s">
        <v>448</v>
      </c>
      <c r="B420" s="1">
        <v>45894</v>
      </c>
      <c r="C420" s="1">
        <v>45924</v>
      </c>
      <c r="D420">
        <v>35</v>
      </c>
      <c r="E420" t="s">
        <v>21</v>
      </c>
      <c r="F420" t="s">
        <v>29</v>
      </c>
      <c r="G420" t="s">
        <v>14</v>
      </c>
      <c r="H420">
        <v>699</v>
      </c>
      <c r="I420">
        <v>1</v>
      </c>
      <c r="J420">
        <v>78</v>
      </c>
      <c r="K420">
        <f t="shared" si="18"/>
        <v>1</v>
      </c>
      <c r="L420" s="4">
        <f t="shared" ca="1" si="19"/>
        <v>1</v>
      </c>
      <c r="M420" t="str">
        <f t="shared" si="20"/>
        <v>Aug-2025</v>
      </c>
      <c r="N420" t="s">
        <v>25</v>
      </c>
    </row>
    <row r="421" spans="1:14" x14ac:dyDescent="0.25">
      <c r="A421" t="s">
        <v>449</v>
      </c>
      <c r="B421" s="1">
        <v>45405</v>
      </c>
      <c r="D421">
        <v>50</v>
      </c>
      <c r="E421" t="s">
        <v>12</v>
      </c>
      <c r="F421" t="s">
        <v>57</v>
      </c>
      <c r="G421" t="s">
        <v>18</v>
      </c>
      <c r="H421">
        <v>14382</v>
      </c>
      <c r="I421">
        <v>18</v>
      </c>
      <c r="J421">
        <v>49</v>
      </c>
      <c r="K421">
        <f t="shared" si="18"/>
        <v>0</v>
      </c>
      <c r="L421" s="4">
        <f t="shared" ca="1" si="19"/>
        <v>24</v>
      </c>
      <c r="M421" t="str">
        <f t="shared" si="20"/>
        <v>Apr-2024</v>
      </c>
      <c r="N421" t="s">
        <v>23</v>
      </c>
    </row>
    <row r="422" spans="1:14" x14ac:dyDescent="0.25">
      <c r="A422" t="s">
        <v>450</v>
      </c>
      <c r="B422" s="1">
        <v>45932</v>
      </c>
      <c r="C422" s="1">
        <v>45962</v>
      </c>
      <c r="D422">
        <v>54</v>
      </c>
      <c r="E422" t="s">
        <v>21</v>
      </c>
      <c r="F422" t="s">
        <v>17</v>
      </c>
      <c r="G422" t="s">
        <v>18</v>
      </c>
      <c r="H422">
        <v>799</v>
      </c>
      <c r="I422">
        <v>1</v>
      </c>
      <c r="J422">
        <v>61</v>
      </c>
      <c r="K422">
        <f t="shared" si="18"/>
        <v>1</v>
      </c>
      <c r="L422" s="4">
        <f t="shared" ca="1" si="19"/>
        <v>1</v>
      </c>
      <c r="M422" t="str">
        <f t="shared" si="20"/>
        <v>Oct-2025</v>
      </c>
      <c r="N422" t="s">
        <v>19</v>
      </c>
    </row>
    <row r="423" spans="1:14" x14ac:dyDescent="0.25">
      <c r="A423" t="s">
        <v>451</v>
      </c>
      <c r="B423" s="1">
        <v>45774</v>
      </c>
      <c r="D423">
        <v>40</v>
      </c>
      <c r="E423" t="s">
        <v>21</v>
      </c>
      <c r="F423" t="s">
        <v>47</v>
      </c>
      <c r="G423" t="s">
        <v>30</v>
      </c>
      <c r="H423">
        <v>4494</v>
      </c>
      <c r="I423">
        <v>6</v>
      </c>
      <c r="J423">
        <v>66</v>
      </c>
      <c r="K423">
        <f t="shared" si="18"/>
        <v>0</v>
      </c>
      <c r="L423" s="4">
        <f t="shared" ca="1" si="19"/>
        <v>11</v>
      </c>
      <c r="M423" t="str">
        <f t="shared" si="20"/>
        <v>Apr-2025</v>
      </c>
      <c r="N423" t="s">
        <v>23</v>
      </c>
    </row>
    <row r="424" spans="1:14" x14ac:dyDescent="0.25">
      <c r="A424" t="s">
        <v>452</v>
      </c>
      <c r="B424" s="1">
        <v>45623</v>
      </c>
      <c r="D424">
        <v>49</v>
      </c>
      <c r="E424" t="s">
        <v>12</v>
      </c>
      <c r="F424" t="s">
        <v>38</v>
      </c>
      <c r="G424" t="s">
        <v>18</v>
      </c>
      <c r="H424">
        <v>8789</v>
      </c>
      <c r="I424">
        <v>11</v>
      </c>
      <c r="J424">
        <v>70</v>
      </c>
      <c r="K424">
        <f t="shared" si="18"/>
        <v>0</v>
      </c>
      <c r="L424" s="4">
        <f t="shared" ca="1" si="19"/>
        <v>16</v>
      </c>
      <c r="M424" t="str">
        <f t="shared" si="20"/>
        <v>Nov-2024</v>
      </c>
      <c r="N424" t="s">
        <v>23</v>
      </c>
    </row>
    <row r="425" spans="1:14" x14ac:dyDescent="0.25">
      <c r="A425" t="s">
        <v>453</v>
      </c>
      <c r="B425" s="1">
        <v>45643</v>
      </c>
      <c r="D425">
        <v>51</v>
      </c>
      <c r="E425" t="s">
        <v>21</v>
      </c>
      <c r="F425" t="s">
        <v>27</v>
      </c>
      <c r="G425" t="s">
        <v>18</v>
      </c>
      <c r="H425">
        <v>7990</v>
      </c>
      <c r="I425">
        <v>10</v>
      </c>
      <c r="J425">
        <v>78</v>
      </c>
      <c r="K425">
        <f t="shared" si="18"/>
        <v>0</v>
      </c>
      <c r="L425" s="4">
        <f t="shared" ca="1" si="19"/>
        <v>16</v>
      </c>
      <c r="M425" t="str">
        <f t="shared" si="20"/>
        <v>Dec-2024</v>
      </c>
      <c r="N425" t="s">
        <v>25</v>
      </c>
    </row>
    <row r="426" spans="1:14" x14ac:dyDescent="0.25">
      <c r="A426" t="s">
        <v>454</v>
      </c>
      <c r="B426" s="1">
        <v>45226</v>
      </c>
      <c r="C426" s="1">
        <v>45736</v>
      </c>
      <c r="D426">
        <v>44</v>
      </c>
      <c r="E426" t="s">
        <v>21</v>
      </c>
      <c r="F426" t="s">
        <v>17</v>
      </c>
      <c r="G426" t="s">
        <v>30</v>
      </c>
      <c r="H426">
        <v>12733</v>
      </c>
      <c r="I426">
        <v>17</v>
      </c>
      <c r="J426">
        <v>23</v>
      </c>
      <c r="K426">
        <f t="shared" si="18"/>
        <v>1</v>
      </c>
      <c r="L426" s="4">
        <f t="shared" ca="1" si="19"/>
        <v>17</v>
      </c>
      <c r="M426" t="str">
        <f t="shared" si="20"/>
        <v>Oct-2023</v>
      </c>
      <c r="N426" t="s">
        <v>25</v>
      </c>
    </row>
    <row r="427" spans="1:14" x14ac:dyDescent="0.25">
      <c r="A427" t="s">
        <v>455</v>
      </c>
      <c r="B427" s="1">
        <v>45782</v>
      </c>
      <c r="D427">
        <v>32</v>
      </c>
      <c r="E427" t="s">
        <v>21</v>
      </c>
      <c r="F427" t="s">
        <v>27</v>
      </c>
      <c r="G427" t="s">
        <v>18</v>
      </c>
      <c r="H427">
        <v>4794</v>
      </c>
      <c r="I427">
        <v>6</v>
      </c>
      <c r="J427">
        <v>60</v>
      </c>
      <c r="K427">
        <f t="shared" si="18"/>
        <v>0</v>
      </c>
      <c r="L427" s="4">
        <f t="shared" ca="1" si="19"/>
        <v>11</v>
      </c>
      <c r="M427" t="str">
        <f t="shared" si="20"/>
        <v>May-2025</v>
      </c>
      <c r="N427" t="s">
        <v>19</v>
      </c>
    </row>
    <row r="428" spans="1:14" x14ac:dyDescent="0.25">
      <c r="A428" t="s">
        <v>456</v>
      </c>
      <c r="B428" s="1">
        <v>45567</v>
      </c>
      <c r="D428">
        <v>44</v>
      </c>
      <c r="E428" t="s">
        <v>21</v>
      </c>
      <c r="F428" t="s">
        <v>29</v>
      </c>
      <c r="G428" t="s">
        <v>18</v>
      </c>
      <c r="H428">
        <v>10387</v>
      </c>
      <c r="I428">
        <v>13</v>
      </c>
      <c r="J428">
        <v>63</v>
      </c>
      <c r="K428">
        <f t="shared" si="18"/>
        <v>0</v>
      </c>
      <c r="L428" s="4">
        <f t="shared" ca="1" si="19"/>
        <v>18</v>
      </c>
      <c r="M428" t="str">
        <f t="shared" si="20"/>
        <v>Oct-2024</v>
      </c>
      <c r="N428" t="s">
        <v>19</v>
      </c>
    </row>
    <row r="429" spans="1:14" x14ac:dyDescent="0.25">
      <c r="A429" t="s">
        <v>457</v>
      </c>
      <c r="B429" s="1">
        <v>45251</v>
      </c>
      <c r="D429">
        <v>41</v>
      </c>
      <c r="E429" t="s">
        <v>12</v>
      </c>
      <c r="F429" t="s">
        <v>41</v>
      </c>
      <c r="G429" t="s">
        <v>14</v>
      </c>
      <c r="H429">
        <v>16077</v>
      </c>
      <c r="I429">
        <v>23</v>
      </c>
      <c r="J429">
        <v>69</v>
      </c>
      <c r="K429">
        <f t="shared" si="18"/>
        <v>0</v>
      </c>
      <c r="L429" s="4">
        <f t="shared" ca="1" si="19"/>
        <v>29</v>
      </c>
      <c r="M429" t="str">
        <f t="shared" si="20"/>
        <v>Nov-2023</v>
      </c>
      <c r="N429" t="s">
        <v>15</v>
      </c>
    </row>
    <row r="430" spans="1:14" x14ac:dyDescent="0.25">
      <c r="A430" t="s">
        <v>458</v>
      </c>
      <c r="B430" s="1">
        <v>45451</v>
      </c>
      <c r="D430">
        <v>21</v>
      </c>
      <c r="E430" t="s">
        <v>12</v>
      </c>
      <c r="F430" t="s">
        <v>22</v>
      </c>
      <c r="G430" t="s">
        <v>18</v>
      </c>
      <c r="H430">
        <v>13583</v>
      </c>
      <c r="I430">
        <v>17</v>
      </c>
      <c r="J430">
        <v>41</v>
      </c>
      <c r="K430">
        <f t="shared" si="18"/>
        <v>0</v>
      </c>
      <c r="L430" s="4">
        <f t="shared" ca="1" si="19"/>
        <v>22</v>
      </c>
      <c r="M430" t="str">
        <f t="shared" si="20"/>
        <v>Jun-2024</v>
      </c>
      <c r="N430" t="s">
        <v>19</v>
      </c>
    </row>
    <row r="431" spans="1:14" x14ac:dyDescent="0.25">
      <c r="A431" t="s">
        <v>459</v>
      </c>
      <c r="B431" s="1">
        <v>44882</v>
      </c>
      <c r="D431">
        <v>45</v>
      </c>
      <c r="E431" t="s">
        <v>12</v>
      </c>
      <c r="F431" t="s">
        <v>41</v>
      </c>
      <c r="G431" t="s">
        <v>30</v>
      </c>
      <c r="H431">
        <v>26964</v>
      </c>
      <c r="I431">
        <v>36</v>
      </c>
      <c r="J431">
        <v>67</v>
      </c>
      <c r="K431">
        <f t="shared" si="18"/>
        <v>0</v>
      </c>
      <c r="L431" s="4">
        <f t="shared" ca="1" si="19"/>
        <v>41</v>
      </c>
      <c r="M431" t="str">
        <f t="shared" si="20"/>
        <v>Nov-2022</v>
      </c>
      <c r="N431" t="s">
        <v>23</v>
      </c>
    </row>
    <row r="432" spans="1:14" x14ac:dyDescent="0.25">
      <c r="A432" t="s">
        <v>460</v>
      </c>
      <c r="B432" s="1">
        <v>45584</v>
      </c>
      <c r="D432">
        <v>59</v>
      </c>
      <c r="E432" t="s">
        <v>21</v>
      </c>
      <c r="F432" t="s">
        <v>57</v>
      </c>
      <c r="G432" t="s">
        <v>18</v>
      </c>
      <c r="H432">
        <v>9588</v>
      </c>
      <c r="I432">
        <v>12</v>
      </c>
      <c r="J432">
        <v>74</v>
      </c>
      <c r="K432">
        <f t="shared" si="18"/>
        <v>0</v>
      </c>
      <c r="L432" s="4">
        <f t="shared" ca="1" si="19"/>
        <v>18</v>
      </c>
      <c r="M432" t="str">
        <f t="shared" si="20"/>
        <v>Oct-2024</v>
      </c>
      <c r="N432" t="s">
        <v>25</v>
      </c>
    </row>
    <row r="433" spans="1:14" x14ac:dyDescent="0.25">
      <c r="A433" t="s">
        <v>461</v>
      </c>
      <c r="B433" s="1">
        <v>45814</v>
      </c>
      <c r="D433">
        <v>56</v>
      </c>
      <c r="E433" t="s">
        <v>12</v>
      </c>
      <c r="F433" t="s">
        <v>57</v>
      </c>
      <c r="G433" t="s">
        <v>18</v>
      </c>
      <c r="H433">
        <v>3196</v>
      </c>
      <c r="I433">
        <v>4</v>
      </c>
      <c r="J433">
        <v>53</v>
      </c>
      <c r="K433">
        <f t="shared" si="18"/>
        <v>0</v>
      </c>
      <c r="L433" s="4">
        <f t="shared" ca="1" si="19"/>
        <v>10</v>
      </c>
      <c r="M433" t="str">
        <f t="shared" si="20"/>
        <v>Jun-2025</v>
      </c>
      <c r="N433" t="s">
        <v>23</v>
      </c>
    </row>
    <row r="434" spans="1:14" x14ac:dyDescent="0.25">
      <c r="A434" t="s">
        <v>462</v>
      </c>
      <c r="B434" s="1">
        <v>45202</v>
      </c>
      <c r="D434">
        <v>49</v>
      </c>
      <c r="E434" t="s">
        <v>21</v>
      </c>
      <c r="F434" t="s">
        <v>57</v>
      </c>
      <c r="G434" t="s">
        <v>18</v>
      </c>
      <c r="H434">
        <v>19975</v>
      </c>
      <c r="I434">
        <v>25</v>
      </c>
      <c r="J434">
        <v>25</v>
      </c>
      <c r="K434">
        <f t="shared" si="18"/>
        <v>0</v>
      </c>
      <c r="L434" s="4">
        <f t="shared" ca="1" si="19"/>
        <v>30</v>
      </c>
      <c r="M434" t="str">
        <f t="shared" si="20"/>
        <v>Oct-2023</v>
      </c>
      <c r="N434" t="s">
        <v>19</v>
      </c>
    </row>
    <row r="435" spans="1:14" x14ac:dyDescent="0.25">
      <c r="A435" t="s">
        <v>463</v>
      </c>
      <c r="B435" s="1">
        <v>45208</v>
      </c>
      <c r="D435">
        <v>34</v>
      </c>
      <c r="E435" t="s">
        <v>21</v>
      </c>
      <c r="F435" t="s">
        <v>13</v>
      </c>
      <c r="G435" t="s">
        <v>30</v>
      </c>
      <c r="H435">
        <v>18725</v>
      </c>
      <c r="I435">
        <v>25</v>
      </c>
      <c r="J435">
        <v>50</v>
      </c>
      <c r="K435">
        <f t="shared" si="18"/>
        <v>0</v>
      </c>
      <c r="L435" s="4">
        <f t="shared" ca="1" si="19"/>
        <v>30</v>
      </c>
      <c r="M435" t="str">
        <f t="shared" si="20"/>
        <v>Oct-2023</v>
      </c>
      <c r="N435" t="s">
        <v>19</v>
      </c>
    </row>
    <row r="436" spans="1:14" x14ac:dyDescent="0.25">
      <c r="A436" t="s">
        <v>464</v>
      </c>
      <c r="B436" s="1">
        <v>45694</v>
      </c>
      <c r="D436">
        <v>33</v>
      </c>
      <c r="E436" t="s">
        <v>12</v>
      </c>
      <c r="F436" t="s">
        <v>41</v>
      </c>
      <c r="G436" t="s">
        <v>18</v>
      </c>
      <c r="H436">
        <v>6392</v>
      </c>
      <c r="I436">
        <v>8</v>
      </c>
      <c r="J436">
        <v>42</v>
      </c>
      <c r="K436">
        <f t="shared" si="18"/>
        <v>0</v>
      </c>
      <c r="L436" s="4">
        <f t="shared" ca="1" si="19"/>
        <v>14</v>
      </c>
      <c r="M436" t="str">
        <f t="shared" si="20"/>
        <v>Feb-2025</v>
      </c>
      <c r="N436" t="s">
        <v>19</v>
      </c>
    </row>
    <row r="437" spans="1:14" x14ac:dyDescent="0.25">
      <c r="A437" t="s">
        <v>465</v>
      </c>
      <c r="B437" s="1">
        <v>44965</v>
      </c>
      <c r="C437" s="1">
        <v>45085</v>
      </c>
      <c r="D437">
        <v>46</v>
      </c>
      <c r="E437" t="s">
        <v>12</v>
      </c>
      <c r="F437" t="s">
        <v>27</v>
      </c>
      <c r="G437" t="s">
        <v>18</v>
      </c>
      <c r="H437">
        <v>3196</v>
      </c>
      <c r="I437">
        <v>4</v>
      </c>
      <c r="J437">
        <v>45</v>
      </c>
      <c r="K437">
        <f t="shared" si="18"/>
        <v>1</v>
      </c>
      <c r="L437" s="4">
        <f t="shared" ca="1" si="19"/>
        <v>4</v>
      </c>
      <c r="M437" t="str">
        <f t="shared" si="20"/>
        <v>Feb-2023</v>
      </c>
      <c r="N437" t="s">
        <v>19</v>
      </c>
    </row>
    <row r="438" spans="1:14" x14ac:dyDescent="0.25">
      <c r="A438" t="s">
        <v>466</v>
      </c>
      <c r="B438" s="1">
        <v>45888</v>
      </c>
      <c r="C438" s="1">
        <v>45948</v>
      </c>
      <c r="D438">
        <v>40</v>
      </c>
      <c r="E438" t="s">
        <v>12</v>
      </c>
      <c r="F438" t="s">
        <v>38</v>
      </c>
      <c r="G438" t="s">
        <v>30</v>
      </c>
      <c r="H438">
        <v>1498</v>
      </c>
      <c r="I438">
        <v>2</v>
      </c>
      <c r="J438">
        <v>28</v>
      </c>
      <c r="K438">
        <f t="shared" si="18"/>
        <v>1</v>
      </c>
      <c r="L438" s="4">
        <f t="shared" ca="1" si="19"/>
        <v>2</v>
      </c>
      <c r="M438" t="str">
        <f t="shared" si="20"/>
        <v>Aug-2025</v>
      </c>
      <c r="N438" t="s">
        <v>19</v>
      </c>
    </row>
    <row r="439" spans="1:14" x14ac:dyDescent="0.25">
      <c r="A439" t="s">
        <v>467</v>
      </c>
      <c r="B439" s="1">
        <v>45782</v>
      </c>
      <c r="D439">
        <v>20</v>
      </c>
      <c r="E439" t="s">
        <v>12</v>
      </c>
      <c r="F439" t="s">
        <v>38</v>
      </c>
      <c r="G439" t="s">
        <v>18</v>
      </c>
      <c r="H439">
        <v>4794</v>
      </c>
      <c r="I439">
        <v>6</v>
      </c>
      <c r="J439">
        <v>53</v>
      </c>
      <c r="K439">
        <f t="shared" si="18"/>
        <v>0</v>
      </c>
      <c r="L439" s="4">
        <f t="shared" ca="1" si="19"/>
        <v>11</v>
      </c>
      <c r="M439" t="str">
        <f t="shared" si="20"/>
        <v>May-2025</v>
      </c>
      <c r="N439" t="s">
        <v>19</v>
      </c>
    </row>
    <row r="440" spans="1:14" x14ac:dyDescent="0.25">
      <c r="A440" t="s">
        <v>468</v>
      </c>
      <c r="B440" s="1">
        <v>45567</v>
      </c>
      <c r="C440" s="1">
        <v>45627</v>
      </c>
      <c r="D440">
        <v>22</v>
      </c>
      <c r="E440" t="s">
        <v>12</v>
      </c>
      <c r="F440" t="s">
        <v>27</v>
      </c>
      <c r="G440" t="s">
        <v>30</v>
      </c>
      <c r="H440">
        <v>1498</v>
      </c>
      <c r="I440">
        <v>2</v>
      </c>
      <c r="J440">
        <v>63</v>
      </c>
      <c r="K440">
        <f t="shared" si="18"/>
        <v>1</v>
      </c>
      <c r="L440" s="4">
        <f t="shared" ca="1" si="19"/>
        <v>2</v>
      </c>
      <c r="M440" t="str">
        <f t="shared" si="20"/>
        <v>Oct-2024</v>
      </c>
      <c r="N440" t="s">
        <v>19</v>
      </c>
    </row>
    <row r="441" spans="1:14" x14ac:dyDescent="0.25">
      <c r="A441" t="s">
        <v>469</v>
      </c>
      <c r="B441" s="1">
        <v>45781</v>
      </c>
      <c r="D441">
        <v>56</v>
      </c>
      <c r="E441" t="s">
        <v>21</v>
      </c>
      <c r="F441" t="s">
        <v>22</v>
      </c>
      <c r="G441" t="s">
        <v>18</v>
      </c>
      <c r="H441">
        <v>4794</v>
      </c>
      <c r="I441">
        <v>6</v>
      </c>
      <c r="J441">
        <v>42</v>
      </c>
      <c r="K441">
        <f t="shared" si="18"/>
        <v>0</v>
      </c>
      <c r="L441" s="4">
        <f t="shared" ca="1" si="19"/>
        <v>11</v>
      </c>
      <c r="M441" t="str">
        <f t="shared" si="20"/>
        <v>May-2025</v>
      </c>
      <c r="N441" t="s">
        <v>25</v>
      </c>
    </row>
    <row r="442" spans="1:14" x14ac:dyDescent="0.25">
      <c r="A442" t="s">
        <v>470</v>
      </c>
      <c r="B442" s="1">
        <v>45813</v>
      </c>
      <c r="C442" s="1">
        <v>45933</v>
      </c>
      <c r="D442">
        <v>27</v>
      </c>
      <c r="E442" t="s">
        <v>12</v>
      </c>
      <c r="F442" t="s">
        <v>22</v>
      </c>
      <c r="G442" t="s">
        <v>18</v>
      </c>
      <c r="H442">
        <v>3196</v>
      </c>
      <c r="I442">
        <v>4</v>
      </c>
      <c r="J442">
        <v>20</v>
      </c>
      <c r="K442">
        <f t="shared" si="18"/>
        <v>1</v>
      </c>
      <c r="L442" s="4">
        <f t="shared" ca="1" si="19"/>
        <v>4</v>
      </c>
      <c r="M442" t="str">
        <f t="shared" si="20"/>
        <v>Jun-2025</v>
      </c>
      <c r="N442" t="s">
        <v>23</v>
      </c>
    </row>
    <row r="443" spans="1:14" x14ac:dyDescent="0.25">
      <c r="A443" t="s">
        <v>471</v>
      </c>
      <c r="B443" s="1">
        <v>45359</v>
      </c>
      <c r="D443">
        <v>30</v>
      </c>
      <c r="E443" t="s">
        <v>12</v>
      </c>
      <c r="F443" t="s">
        <v>17</v>
      </c>
      <c r="G443" t="s">
        <v>18</v>
      </c>
      <c r="H443">
        <v>15980</v>
      </c>
      <c r="I443">
        <v>20</v>
      </c>
      <c r="J443">
        <v>79</v>
      </c>
      <c r="K443">
        <f t="shared" si="18"/>
        <v>0</v>
      </c>
      <c r="L443" s="4">
        <f t="shared" ca="1" si="19"/>
        <v>25</v>
      </c>
      <c r="M443" t="str">
        <f t="shared" si="20"/>
        <v>Mar-2024</v>
      </c>
      <c r="N443" t="s">
        <v>19</v>
      </c>
    </row>
    <row r="444" spans="1:14" x14ac:dyDescent="0.25">
      <c r="A444" t="s">
        <v>472</v>
      </c>
      <c r="B444" s="1">
        <v>45848</v>
      </c>
      <c r="C444" s="1">
        <v>45908</v>
      </c>
      <c r="D444">
        <v>30</v>
      </c>
      <c r="E444" t="s">
        <v>12</v>
      </c>
      <c r="F444" t="s">
        <v>27</v>
      </c>
      <c r="G444" t="s">
        <v>18</v>
      </c>
      <c r="H444">
        <v>1598</v>
      </c>
      <c r="I444">
        <v>2</v>
      </c>
      <c r="J444">
        <v>61</v>
      </c>
      <c r="K444">
        <f t="shared" si="18"/>
        <v>1</v>
      </c>
      <c r="L444" s="4">
        <f t="shared" ca="1" si="19"/>
        <v>2</v>
      </c>
      <c r="M444" t="str">
        <f t="shared" si="20"/>
        <v>Jul-2025</v>
      </c>
      <c r="N444" t="s">
        <v>19</v>
      </c>
    </row>
    <row r="445" spans="1:14" x14ac:dyDescent="0.25">
      <c r="A445" t="s">
        <v>473</v>
      </c>
      <c r="B445" s="1">
        <v>45592</v>
      </c>
      <c r="C445" s="1">
        <v>45802</v>
      </c>
      <c r="D445">
        <v>40</v>
      </c>
      <c r="E445" t="s">
        <v>21</v>
      </c>
      <c r="F445" t="s">
        <v>57</v>
      </c>
      <c r="G445" t="s">
        <v>18</v>
      </c>
      <c r="H445">
        <v>5593</v>
      </c>
      <c r="I445">
        <v>7</v>
      </c>
      <c r="J445">
        <v>65</v>
      </c>
      <c r="K445">
        <f t="shared" si="18"/>
        <v>1</v>
      </c>
      <c r="L445" s="4">
        <f t="shared" ca="1" si="19"/>
        <v>7</v>
      </c>
      <c r="M445" t="str">
        <f t="shared" si="20"/>
        <v>Oct-2024</v>
      </c>
      <c r="N445" t="s">
        <v>23</v>
      </c>
    </row>
    <row r="446" spans="1:14" x14ac:dyDescent="0.25">
      <c r="A446" t="s">
        <v>474</v>
      </c>
      <c r="B446" s="1">
        <v>45255</v>
      </c>
      <c r="D446">
        <v>31</v>
      </c>
      <c r="E446" t="s">
        <v>21</v>
      </c>
      <c r="F446" t="s">
        <v>32</v>
      </c>
      <c r="G446" t="s">
        <v>18</v>
      </c>
      <c r="H446">
        <v>18377</v>
      </c>
      <c r="I446">
        <v>23</v>
      </c>
      <c r="J446">
        <v>60</v>
      </c>
      <c r="K446">
        <f t="shared" si="18"/>
        <v>0</v>
      </c>
      <c r="L446" s="4">
        <f t="shared" ca="1" si="19"/>
        <v>29</v>
      </c>
      <c r="M446" t="str">
        <f t="shared" si="20"/>
        <v>Nov-2023</v>
      </c>
      <c r="N446" t="s">
        <v>23</v>
      </c>
    </row>
    <row r="447" spans="1:14" x14ac:dyDescent="0.25">
      <c r="A447" t="s">
        <v>475</v>
      </c>
      <c r="B447" s="1">
        <v>45314</v>
      </c>
      <c r="D447">
        <v>58</v>
      </c>
      <c r="E447" t="s">
        <v>21</v>
      </c>
      <c r="F447" t="s">
        <v>29</v>
      </c>
      <c r="G447" t="s">
        <v>30</v>
      </c>
      <c r="H447">
        <v>15729</v>
      </c>
      <c r="I447">
        <v>21</v>
      </c>
      <c r="J447">
        <v>60</v>
      </c>
      <c r="K447">
        <f t="shared" si="18"/>
        <v>0</v>
      </c>
      <c r="L447" s="4">
        <f t="shared" ca="1" si="19"/>
        <v>27</v>
      </c>
      <c r="M447" t="str">
        <f t="shared" si="20"/>
        <v>Jan-2024</v>
      </c>
      <c r="N447" t="s">
        <v>23</v>
      </c>
    </row>
    <row r="448" spans="1:14" x14ac:dyDescent="0.25">
      <c r="A448" t="s">
        <v>476</v>
      </c>
      <c r="B448" s="1">
        <v>44897</v>
      </c>
      <c r="D448">
        <v>39</v>
      </c>
      <c r="E448" t="s">
        <v>21</v>
      </c>
      <c r="F448" t="s">
        <v>41</v>
      </c>
      <c r="G448" t="s">
        <v>18</v>
      </c>
      <c r="H448">
        <v>27965</v>
      </c>
      <c r="I448">
        <v>35</v>
      </c>
      <c r="J448">
        <v>66</v>
      </c>
      <c r="K448">
        <f t="shared" si="18"/>
        <v>0</v>
      </c>
      <c r="L448" s="4">
        <f t="shared" ca="1" si="19"/>
        <v>40</v>
      </c>
      <c r="M448" t="str">
        <f t="shared" si="20"/>
        <v>Dec-2022</v>
      </c>
      <c r="N448" t="s">
        <v>25</v>
      </c>
    </row>
    <row r="449" spans="1:14" x14ac:dyDescent="0.25">
      <c r="A449" t="s">
        <v>477</v>
      </c>
      <c r="B449" s="1">
        <v>45302</v>
      </c>
      <c r="D449">
        <v>48</v>
      </c>
      <c r="E449" t="s">
        <v>21</v>
      </c>
      <c r="F449" t="s">
        <v>22</v>
      </c>
      <c r="G449" t="s">
        <v>30</v>
      </c>
      <c r="H449">
        <v>16478</v>
      </c>
      <c r="I449">
        <v>22</v>
      </c>
      <c r="J449">
        <v>66</v>
      </c>
      <c r="K449">
        <f t="shared" si="18"/>
        <v>0</v>
      </c>
      <c r="L449" s="4">
        <f t="shared" ca="1" si="19"/>
        <v>27</v>
      </c>
      <c r="M449" t="str">
        <f t="shared" si="20"/>
        <v>Jan-2024</v>
      </c>
      <c r="N449" t="s">
        <v>23</v>
      </c>
    </row>
    <row r="450" spans="1:14" x14ac:dyDescent="0.25">
      <c r="A450" t="s">
        <v>478</v>
      </c>
      <c r="B450" s="1">
        <v>45149</v>
      </c>
      <c r="D450">
        <v>27</v>
      </c>
      <c r="E450" t="s">
        <v>21</v>
      </c>
      <c r="F450" t="s">
        <v>17</v>
      </c>
      <c r="G450" t="s">
        <v>18</v>
      </c>
      <c r="H450">
        <v>21573</v>
      </c>
      <c r="I450">
        <v>27</v>
      </c>
      <c r="J450">
        <v>61</v>
      </c>
      <c r="K450">
        <f t="shared" si="18"/>
        <v>0</v>
      </c>
      <c r="L450" s="4">
        <f t="shared" ca="1" si="19"/>
        <v>32</v>
      </c>
      <c r="M450" t="str">
        <f t="shared" si="20"/>
        <v>Aug-2023</v>
      </c>
      <c r="N450" t="s">
        <v>19</v>
      </c>
    </row>
    <row r="451" spans="1:14" x14ac:dyDescent="0.25">
      <c r="A451" t="s">
        <v>479</v>
      </c>
      <c r="B451" s="1">
        <v>45590</v>
      </c>
      <c r="D451">
        <v>31</v>
      </c>
      <c r="E451" t="s">
        <v>21</v>
      </c>
      <c r="F451" t="s">
        <v>22</v>
      </c>
      <c r="G451" t="s">
        <v>18</v>
      </c>
      <c r="H451">
        <v>9588</v>
      </c>
      <c r="I451">
        <v>12</v>
      </c>
      <c r="J451">
        <v>50</v>
      </c>
      <c r="K451">
        <f t="shared" ref="K451:K514" si="21">IF(ISBLANK(C451), 0, 1)</f>
        <v>0</v>
      </c>
      <c r="L451" s="4">
        <f t="shared" ref="L451:L514" ca="1" si="22">ROUNDUP(DATEDIF(B451, IF(ISBLANK(C451), TODAY(), C451), "d")/30, 0)</f>
        <v>17</v>
      </c>
      <c r="M451" t="str">
        <f t="shared" ref="M451:M514" si="23">TEXT(B451, "mmm-yyyy")</f>
        <v>Oct-2024</v>
      </c>
      <c r="N451" t="s">
        <v>19</v>
      </c>
    </row>
    <row r="452" spans="1:14" x14ac:dyDescent="0.25">
      <c r="A452" t="s">
        <v>480</v>
      </c>
      <c r="B452" s="1">
        <v>45295</v>
      </c>
      <c r="D452">
        <v>60</v>
      </c>
      <c r="E452" t="s">
        <v>21</v>
      </c>
      <c r="F452" t="s">
        <v>22</v>
      </c>
      <c r="G452" t="s">
        <v>18</v>
      </c>
      <c r="H452">
        <v>17578</v>
      </c>
      <c r="I452">
        <v>22</v>
      </c>
      <c r="J452">
        <v>82</v>
      </c>
      <c r="K452">
        <f t="shared" si="21"/>
        <v>0</v>
      </c>
      <c r="L452" s="4">
        <f t="shared" ca="1" si="22"/>
        <v>27</v>
      </c>
      <c r="M452" t="str">
        <f t="shared" si="23"/>
        <v>Jan-2024</v>
      </c>
      <c r="N452" t="s">
        <v>23</v>
      </c>
    </row>
    <row r="453" spans="1:14" x14ac:dyDescent="0.25">
      <c r="A453" t="s">
        <v>481</v>
      </c>
      <c r="B453" s="1">
        <v>45028</v>
      </c>
      <c r="D453">
        <v>27</v>
      </c>
      <c r="E453" t="s">
        <v>12</v>
      </c>
      <c r="F453" t="s">
        <v>27</v>
      </c>
      <c r="G453" t="s">
        <v>18</v>
      </c>
      <c r="H453">
        <v>24769</v>
      </c>
      <c r="I453">
        <v>31</v>
      </c>
      <c r="J453">
        <v>50</v>
      </c>
      <c r="K453">
        <f t="shared" si="21"/>
        <v>0</v>
      </c>
      <c r="L453" s="4">
        <f t="shared" ca="1" si="22"/>
        <v>36</v>
      </c>
      <c r="M453" t="str">
        <f t="shared" si="23"/>
        <v>Apr-2023</v>
      </c>
      <c r="N453" t="s">
        <v>19</v>
      </c>
    </row>
    <row r="454" spans="1:14" x14ac:dyDescent="0.25">
      <c r="A454" t="s">
        <v>482</v>
      </c>
      <c r="B454" s="1">
        <v>44937</v>
      </c>
      <c r="C454" s="1">
        <v>45327</v>
      </c>
      <c r="D454">
        <v>55</v>
      </c>
      <c r="E454" t="s">
        <v>21</v>
      </c>
      <c r="F454" t="s">
        <v>47</v>
      </c>
      <c r="G454" t="s">
        <v>18</v>
      </c>
      <c r="H454">
        <v>10387</v>
      </c>
      <c r="I454">
        <v>13</v>
      </c>
      <c r="J454">
        <v>32</v>
      </c>
      <c r="K454">
        <f t="shared" si="21"/>
        <v>1</v>
      </c>
      <c r="L454" s="4">
        <f t="shared" ca="1" si="22"/>
        <v>13</v>
      </c>
      <c r="M454" t="str">
        <f t="shared" si="23"/>
        <v>Jan-2023</v>
      </c>
      <c r="N454" t="s">
        <v>23</v>
      </c>
    </row>
    <row r="455" spans="1:14" x14ac:dyDescent="0.25">
      <c r="A455" t="s">
        <v>483</v>
      </c>
      <c r="B455" s="1">
        <v>45091</v>
      </c>
      <c r="D455">
        <v>44</v>
      </c>
      <c r="E455" t="s">
        <v>12</v>
      </c>
      <c r="F455" t="s">
        <v>22</v>
      </c>
      <c r="G455" t="s">
        <v>14</v>
      </c>
      <c r="H455">
        <v>20271</v>
      </c>
      <c r="I455">
        <v>29</v>
      </c>
      <c r="J455">
        <v>71</v>
      </c>
      <c r="K455">
        <f t="shared" si="21"/>
        <v>0</v>
      </c>
      <c r="L455" s="4">
        <f t="shared" ca="1" si="22"/>
        <v>34</v>
      </c>
      <c r="M455" t="str">
        <f t="shared" si="23"/>
        <v>Jun-2023</v>
      </c>
      <c r="N455" t="s">
        <v>19</v>
      </c>
    </row>
    <row r="456" spans="1:14" x14ac:dyDescent="0.25">
      <c r="A456" t="s">
        <v>484</v>
      </c>
      <c r="B456" s="1">
        <v>45274</v>
      </c>
      <c r="D456">
        <v>45</v>
      </c>
      <c r="E456" t="s">
        <v>12</v>
      </c>
      <c r="F456" t="s">
        <v>13</v>
      </c>
      <c r="G456" t="s">
        <v>30</v>
      </c>
      <c r="H456">
        <v>16478</v>
      </c>
      <c r="I456">
        <v>22</v>
      </c>
      <c r="J456">
        <v>20</v>
      </c>
      <c r="K456">
        <f t="shared" si="21"/>
        <v>0</v>
      </c>
      <c r="L456" s="4">
        <f t="shared" ca="1" si="22"/>
        <v>28</v>
      </c>
      <c r="M456" t="str">
        <f t="shared" si="23"/>
        <v>Dec-2023</v>
      </c>
      <c r="N456" t="s">
        <v>19</v>
      </c>
    </row>
    <row r="457" spans="1:14" x14ac:dyDescent="0.25">
      <c r="A457" t="s">
        <v>485</v>
      </c>
      <c r="B457" s="1">
        <v>45053</v>
      </c>
      <c r="D457">
        <v>50</v>
      </c>
      <c r="E457" t="s">
        <v>12</v>
      </c>
      <c r="F457" t="s">
        <v>22</v>
      </c>
      <c r="G457" t="s">
        <v>18</v>
      </c>
      <c r="H457">
        <v>23970</v>
      </c>
      <c r="I457">
        <v>30</v>
      </c>
      <c r="J457">
        <v>63</v>
      </c>
      <c r="K457">
        <f t="shared" si="21"/>
        <v>0</v>
      </c>
      <c r="L457" s="4">
        <f t="shared" ca="1" si="22"/>
        <v>35</v>
      </c>
      <c r="M457" t="str">
        <f t="shared" si="23"/>
        <v>May-2023</v>
      </c>
      <c r="N457" t="s">
        <v>19</v>
      </c>
    </row>
    <row r="458" spans="1:14" x14ac:dyDescent="0.25">
      <c r="A458" t="s">
        <v>486</v>
      </c>
      <c r="B458" s="1">
        <v>45666</v>
      </c>
      <c r="D458">
        <v>20</v>
      </c>
      <c r="E458" t="s">
        <v>12</v>
      </c>
      <c r="F458" t="s">
        <v>27</v>
      </c>
      <c r="G458" t="s">
        <v>30</v>
      </c>
      <c r="H458">
        <v>6741</v>
      </c>
      <c r="I458">
        <v>9</v>
      </c>
      <c r="J458">
        <v>46</v>
      </c>
      <c r="K458">
        <f t="shared" si="21"/>
        <v>0</v>
      </c>
      <c r="L458" s="4">
        <f t="shared" ca="1" si="22"/>
        <v>15</v>
      </c>
      <c r="M458" t="str">
        <f t="shared" si="23"/>
        <v>Jan-2025</v>
      </c>
      <c r="N458" t="s">
        <v>23</v>
      </c>
    </row>
    <row r="459" spans="1:14" x14ac:dyDescent="0.25">
      <c r="A459" t="s">
        <v>487</v>
      </c>
      <c r="B459" s="1">
        <v>45873</v>
      </c>
      <c r="C459" s="1">
        <v>45903</v>
      </c>
      <c r="D459">
        <v>57</v>
      </c>
      <c r="E459" t="s">
        <v>12</v>
      </c>
      <c r="F459" t="s">
        <v>57</v>
      </c>
      <c r="G459" t="s">
        <v>14</v>
      </c>
      <c r="H459">
        <v>699</v>
      </c>
      <c r="I459">
        <v>1</v>
      </c>
      <c r="J459">
        <v>36</v>
      </c>
      <c r="K459">
        <f t="shared" si="21"/>
        <v>1</v>
      </c>
      <c r="L459" s="4">
        <f t="shared" ca="1" si="22"/>
        <v>1</v>
      </c>
      <c r="M459" t="str">
        <f t="shared" si="23"/>
        <v>Aug-2025</v>
      </c>
      <c r="N459" t="s">
        <v>19</v>
      </c>
    </row>
    <row r="460" spans="1:14" x14ac:dyDescent="0.25">
      <c r="A460" t="s">
        <v>488</v>
      </c>
      <c r="B460" s="1">
        <v>45727</v>
      </c>
      <c r="C460" s="1">
        <v>45907</v>
      </c>
      <c r="D460">
        <v>22</v>
      </c>
      <c r="E460" t="s">
        <v>21</v>
      </c>
      <c r="F460" t="s">
        <v>27</v>
      </c>
      <c r="G460" t="s">
        <v>18</v>
      </c>
      <c r="H460">
        <v>4794</v>
      </c>
      <c r="I460">
        <v>6</v>
      </c>
      <c r="J460">
        <v>65</v>
      </c>
      <c r="K460">
        <f t="shared" si="21"/>
        <v>1</v>
      </c>
      <c r="L460" s="4">
        <f t="shared" ca="1" si="22"/>
        <v>6</v>
      </c>
      <c r="M460" t="str">
        <f t="shared" si="23"/>
        <v>Mar-2025</v>
      </c>
      <c r="N460" t="s">
        <v>23</v>
      </c>
    </row>
    <row r="461" spans="1:14" x14ac:dyDescent="0.25">
      <c r="A461" t="s">
        <v>489</v>
      </c>
      <c r="B461" s="1">
        <v>44927</v>
      </c>
      <c r="D461">
        <v>52</v>
      </c>
      <c r="E461" t="s">
        <v>12</v>
      </c>
      <c r="F461" t="s">
        <v>13</v>
      </c>
      <c r="G461" t="s">
        <v>18</v>
      </c>
      <c r="H461">
        <v>27166</v>
      </c>
      <c r="I461">
        <v>34</v>
      </c>
      <c r="J461">
        <v>96</v>
      </c>
      <c r="K461">
        <f t="shared" si="21"/>
        <v>0</v>
      </c>
      <c r="L461" s="4">
        <f t="shared" ca="1" si="22"/>
        <v>39</v>
      </c>
      <c r="M461" t="str">
        <f t="shared" si="23"/>
        <v>Jan-2023</v>
      </c>
      <c r="N461" t="s">
        <v>23</v>
      </c>
    </row>
    <row r="462" spans="1:14" x14ac:dyDescent="0.25">
      <c r="A462" t="s">
        <v>490</v>
      </c>
      <c r="B462" s="1">
        <v>45157</v>
      </c>
      <c r="D462">
        <v>48</v>
      </c>
      <c r="E462" t="s">
        <v>15</v>
      </c>
      <c r="F462" t="s">
        <v>57</v>
      </c>
      <c r="G462" t="s">
        <v>30</v>
      </c>
      <c r="H462">
        <v>19474</v>
      </c>
      <c r="I462">
        <v>26</v>
      </c>
      <c r="J462">
        <v>48</v>
      </c>
      <c r="K462">
        <f t="shared" si="21"/>
        <v>0</v>
      </c>
      <c r="L462" s="4">
        <f t="shared" ca="1" si="22"/>
        <v>32</v>
      </c>
      <c r="M462" t="str">
        <f t="shared" si="23"/>
        <v>Aug-2023</v>
      </c>
      <c r="N462" t="s">
        <v>23</v>
      </c>
    </row>
    <row r="463" spans="1:14" x14ac:dyDescent="0.25">
      <c r="A463" t="s">
        <v>491</v>
      </c>
      <c r="B463" s="1">
        <v>45137</v>
      </c>
      <c r="D463">
        <v>36</v>
      </c>
      <c r="E463" t="s">
        <v>12</v>
      </c>
      <c r="F463" t="s">
        <v>41</v>
      </c>
      <c r="G463" t="s">
        <v>18</v>
      </c>
      <c r="H463">
        <v>21573</v>
      </c>
      <c r="I463">
        <v>27</v>
      </c>
      <c r="J463">
        <v>73</v>
      </c>
      <c r="K463">
        <f t="shared" si="21"/>
        <v>0</v>
      </c>
      <c r="L463" s="4">
        <f t="shared" ca="1" si="22"/>
        <v>32</v>
      </c>
      <c r="M463" t="str">
        <f t="shared" si="23"/>
        <v>Jul-2023</v>
      </c>
      <c r="N463" t="s">
        <v>19</v>
      </c>
    </row>
    <row r="464" spans="1:14" x14ac:dyDescent="0.25">
      <c r="A464" t="s">
        <v>492</v>
      </c>
      <c r="B464" s="1">
        <v>45195</v>
      </c>
      <c r="C464" s="1">
        <v>45225</v>
      </c>
      <c r="D464">
        <v>30</v>
      </c>
      <c r="E464" t="s">
        <v>12</v>
      </c>
      <c r="F464" t="s">
        <v>41</v>
      </c>
      <c r="G464" t="s">
        <v>18</v>
      </c>
      <c r="H464">
        <v>799</v>
      </c>
      <c r="I464">
        <v>1</v>
      </c>
      <c r="J464">
        <v>62</v>
      </c>
      <c r="K464">
        <f t="shared" si="21"/>
        <v>1</v>
      </c>
      <c r="L464" s="4">
        <f t="shared" ca="1" si="22"/>
        <v>1</v>
      </c>
      <c r="M464" t="str">
        <f t="shared" si="23"/>
        <v>Sep-2023</v>
      </c>
      <c r="N464" t="s">
        <v>15</v>
      </c>
    </row>
    <row r="465" spans="1:14" x14ac:dyDescent="0.25">
      <c r="A465" t="s">
        <v>493</v>
      </c>
      <c r="B465" s="1">
        <v>45468</v>
      </c>
      <c r="D465">
        <v>40</v>
      </c>
      <c r="E465" t="s">
        <v>12</v>
      </c>
      <c r="F465" t="s">
        <v>47</v>
      </c>
      <c r="G465" t="s">
        <v>18</v>
      </c>
      <c r="H465">
        <v>12784</v>
      </c>
      <c r="I465">
        <v>16</v>
      </c>
      <c r="J465">
        <v>33</v>
      </c>
      <c r="K465">
        <f t="shared" si="21"/>
        <v>0</v>
      </c>
      <c r="L465" s="4">
        <f t="shared" ca="1" si="22"/>
        <v>21</v>
      </c>
      <c r="M465" t="str">
        <f t="shared" si="23"/>
        <v>Jun-2024</v>
      </c>
      <c r="N465" t="s">
        <v>15</v>
      </c>
    </row>
    <row r="466" spans="1:14" x14ac:dyDescent="0.25">
      <c r="A466" t="s">
        <v>494</v>
      </c>
      <c r="B466" s="1">
        <v>45702</v>
      </c>
      <c r="D466">
        <v>43</v>
      </c>
      <c r="E466" t="s">
        <v>21</v>
      </c>
      <c r="F466" t="s">
        <v>17</v>
      </c>
      <c r="G466" t="s">
        <v>18</v>
      </c>
      <c r="H466">
        <v>6392</v>
      </c>
      <c r="I466">
        <v>8</v>
      </c>
      <c r="J466">
        <v>53</v>
      </c>
      <c r="K466">
        <f t="shared" si="21"/>
        <v>0</v>
      </c>
      <c r="L466" s="4">
        <f t="shared" ca="1" si="22"/>
        <v>14</v>
      </c>
      <c r="M466" t="str">
        <f t="shared" si="23"/>
        <v>Feb-2025</v>
      </c>
      <c r="N466" t="s">
        <v>19</v>
      </c>
    </row>
    <row r="467" spans="1:14" x14ac:dyDescent="0.25">
      <c r="A467" t="s">
        <v>495</v>
      </c>
      <c r="B467" s="1">
        <v>45737</v>
      </c>
      <c r="D467">
        <v>43</v>
      </c>
      <c r="E467" t="s">
        <v>21</v>
      </c>
      <c r="F467" t="s">
        <v>17</v>
      </c>
      <c r="G467" t="s">
        <v>18</v>
      </c>
      <c r="H467">
        <v>5593</v>
      </c>
      <c r="I467">
        <v>7</v>
      </c>
      <c r="J467">
        <v>78</v>
      </c>
      <c r="K467">
        <f t="shared" si="21"/>
        <v>0</v>
      </c>
      <c r="L467" s="4">
        <f t="shared" ca="1" si="22"/>
        <v>12</v>
      </c>
      <c r="M467" t="str">
        <f t="shared" si="23"/>
        <v>Mar-2025</v>
      </c>
      <c r="N467" t="s">
        <v>23</v>
      </c>
    </row>
    <row r="468" spans="1:14" x14ac:dyDescent="0.25">
      <c r="A468" t="s">
        <v>496</v>
      </c>
      <c r="B468" s="1">
        <v>45096</v>
      </c>
      <c r="D468">
        <v>47</v>
      </c>
      <c r="E468" t="s">
        <v>12</v>
      </c>
      <c r="F468" t="s">
        <v>41</v>
      </c>
      <c r="G468" t="s">
        <v>18</v>
      </c>
      <c r="H468">
        <v>22372</v>
      </c>
      <c r="I468">
        <v>28</v>
      </c>
      <c r="J468">
        <v>34</v>
      </c>
      <c r="K468">
        <f t="shared" si="21"/>
        <v>0</v>
      </c>
      <c r="L468" s="4">
        <f t="shared" ca="1" si="22"/>
        <v>34</v>
      </c>
      <c r="M468" t="str">
        <f t="shared" si="23"/>
        <v>Jun-2023</v>
      </c>
      <c r="N468" t="s">
        <v>23</v>
      </c>
    </row>
    <row r="469" spans="1:14" x14ac:dyDescent="0.25">
      <c r="A469" t="s">
        <v>497</v>
      </c>
      <c r="B469" s="1">
        <v>45468</v>
      </c>
      <c r="C469" s="1">
        <v>45888</v>
      </c>
      <c r="D469">
        <v>21</v>
      </c>
      <c r="E469" t="s">
        <v>15</v>
      </c>
      <c r="F469" t="s">
        <v>47</v>
      </c>
      <c r="G469" t="s">
        <v>18</v>
      </c>
      <c r="H469">
        <v>11186</v>
      </c>
      <c r="I469">
        <v>14</v>
      </c>
      <c r="J469">
        <v>68</v>
      </c>
      <c r="K469">
        <f t="shared" si="21"/>
        <v>1</v>
      </c>
      <c r="L469" s="4">
        <f t="shared" ca="1" si="22"/>
        <v>14</v>
      </c>
      <c r="M469" t="str">
        <f t="shared" si="23"/>
        <v>Jun-2024</v>
      </c>
      <c r="N469" t="s">
        <v>19</v>
      </c>
    </row>
    <row r="470" spans="1:14" x14ac:dyDescent="0.25">
      <c r="A470" t="s">
        <v>498</v>
      </c>
      <c r="B470" s="1">
        <v>45729</v>
      </c>
      <c r="D470">
        <v>49</v>
      </c>
      <c r="E470" t="s">
        <v>21</v>
      </c>
      <c r="F470" t="s">
        <v>22</v>
      </c>
      <c r="G470" t="s">
        <v>18</v>
      </c>
      <c r="H470">
        <v>5593</v>
      </c>
      <c r="I470">
        <v>7</v>
      </c>
      <c r="J470">
        <v>42</v>
      </c>
      <c r="K470">
        <f t="shared" si="21"/>
        <v>0</v>
      </c>
      <c r="L470" s="4">
        <f t="shared" ca="1" si="22"/>
        <v>13</v>
      </c>
      <c r="M470" t="str">
        <f t="shared" si="23"/>
        <v>Mar-2025</v>
      </c>
      <c r="N470" t="s">
        <v>19</v>
      </c>
    </row>
    <row r="471" spans="1:14" x14ac:dyDescent="0.25">
      <c r="A471" t="s">
        <v>499</v>
      </c>
      <c r="B471" s="1">
        <v>45464</v>
      </c>
      <c r="D471">
        <v>42</v>
      </c>
      <c r="E471" t="s">
        <v>12</v>
      </c>
      <c r="F471" t="s">
        <v>22</v>
      </c>
      <c r="G471" t="s">
        <v>18</v>
      </c>
      <c r="H471">
        <v>12784</v>
      </c>
      <c r="I471">
        <v>16</v>
      </c>
      <c r="J471">
        <v>73</v>
      </c>
      <c r="K471">
        <f t="shared" si="21"/>
        <v>0</v>
      </c>
      <c r="L471" s="4">
        <f t="shared" ca="1" si="22"/>
        <v>22</v>
      </c>
      <c r="M471" t="str">
        <f t="shared" si="23"/>
        <v>Jun-2024</v>
      </c>
      <c r="N471" t="s">
        <v>15</v>
      </c>
    </row>
    <row r="472" spans="1:14" x14ac:dyDescent="0.25">
      <c r="A472" t="s">
        <v>500</v>
      </c>
      <c r="B472" s="1">
        <v>45193</v>
      </c>
      <c r="D472">
        <v>36</v>
      </c>
      <c r="E472" t="s">
        <v>21</v>
      </c>
      <c r="F472" t="s">
        <v>38</v>
      </c>
      <c r="G472" t="s">
        <v>18</v>
      </c>
      <c r="H472">
        <v>19975</v>
      </c>
      <c r="I472">
        <v>25</v>
      </c>
      <c r="J472">
        <v>81</v>
      </c>
      <c r="K472">
        <f t="shared" si="21"/>
        <v>0</v>
      </c>
      <c r="L472" s="4">
        <f t="shared" ca="1" si="22"/>
        <v>31</v>
      </c>
      <c r="M472" t="str">
        <f t="shared" si="23"/>
        <v>Sep-2023</v>
      </c>
      <c r="N472" t="s">
        <v>23</v>
      </c>
    </row>
    <row r="473" spans="1:14" x14ac:dyDescent="0.25">
      <c r="A473" t="s">
        <v>501</v>
      </c>
      <c r="B473" s="1">
        <v>45661</v>
      </c>
      <c r="D473">
        <v>18</v>
      </c>
      <c r="E473" t="s">
        <v>21</v>
      </c>
      <c r="F473" t="s">
        <v>29</v>
      </c>
      <c r="G473" t="s">
        <v>18</v>
      </c>
      <c r="H473">
        <v>7990</v>
      </c>
      <c r="I473">
        <v>10</v>
      </c>
      <c r="J473">
        <v>62</v>
      </c>
      <c r="K473">
        <f t="shared" si="21"/>
        <v>0</v>
      </c>
      <c r="L473" s="4">
        <f t="shared" ca="1" si="22"/>
        <v>15</v>
      </c>
      <c r="M473" t="str">
        <f t="shared" si="23"/>
        <v>Jan-2025</v>
      </c>
      <c r="N473" t="s">
        <v>23</v>
      </c>
    </row>
    <row r="474" spans="1:14" x14ac:dyDescent="0.25">
      <c r="A474" t="s">
        <v>502</v>
      </c>
      <c r="B474" s="1">
        <v>45734</v>
      </c>
      <c r="D474">
        <v>27</v>
      </c>
      <c r="E474" t="s">
        <v>21</v>
      </c>
      <c r="F474" t="s">
        <v>22</v>
      </c>
      <c r="G474" t="s">
        <v>18</v>
      </c>
      <c r="H474">
        <v>5593</v>
      </c>
      <c r="I474">
        <v>7</v>
      </c>
      <c r="J474">
        <v>67</v>
      </c>
      <c r="K474">
        <f t="shared" si="21"/>
        <v>0</v>
      </c>
      <c r="L474" s="4">
        <f t="shared" ca="1" si="22"/>
        <v>13</v>
      </c>
      <c r="M474" t="str">
        <f t="shared" si="23"/>
        <v>Mar-2025</v>
      </c>
      <c r="N474" t="s">
        <v>23</v>
      </c>
    </row>
    <row r="475" spans="1:14" x14ac:dyDescent="0.25">
      <c r="A475" t="s">
        <v>503</v>
      </c>
      <c r="B475" s="1">
        <v>45258</v>
      </c>
      <c r="D475">
        <v>26</v>
      </c>
      <c r="E475" t="s">
        <v>12</v>
      </c>
      <c r="F475" t="s">
        <v>13</v>
      </c>
      <c r="G475" t="s">
        <v>14</v>
      </c>
      <c r="H475">
        <v>16077</v>
      </c>
      <c r="I475">
        <v>23</v>
      </c>
      <c r="J475">
        <v>100</v>
      </c>
      <c r="K475">
        <f t="shared" si="21"/>
        <v>0</v>
      </c>
      <c r="L475" s="4">
        <f t="shared" ca="1" si="22"/>
        <v>28</v>
      </c>
      <c r="M475" t="str">
        <f t="shared" si="23"/>
        <v>Nov-2023</v>
      </c>
      <c r="N475" t="s">
        <v>19</v>
      </c>
    </row>
    <row r="476" spans="1:14" x14ac:dyDescent="0.25">
      <c r="A476" t="s">
        <v>504</v>
      </c>
      <c r="B476" s="1">
        <v>45720</v>
      </c>
      <c r="D476">
        <v>33</v>
      </c>
      <c r="E476" t="s">
        <v>12</v>
      </c>
      <c r="F476" t="s">
        <v>32</v>
      </c>
      <c r="G476" t="s">
        <v>18</v>
      </c>
      <c r="H476">
        <v>6392</v>
      </c>
      <c r="I476">
        <v>8</v>
      </c>
      <c r="J476">
        <v>54</v>
      </c>
      <c r="K476">
        <f t="shared" si="21"/>
        <v>0</v>
      </c>
      <c r="L476" s="4">
        <f t="shared" ca="1" si="22"/>
        <v>13</v>
      </c>
      <c r="M476" t="str">
        <f t="shared" si="23"/>
        <v>Mar-2025</v>
      </c>
      <c r="N476" t="s">
        <v>19</v>
      </c>
    </row>
    <row r="477" spans="1:14" x14ac:dyDescent="0.25">
      <c r="A477" t="s">
        <v>505</v>
      </c>
      <c r="B477" s="1">
        <v>45576</v>
      </c>
      <c r="D477">
        <v>18</v>
      </c>
      <c r="E477" t="s">
        <v>21</v>
      </c>
      <c r="F477" t="s">
        <v>22</v>
      </c>
      <c r="G477" t="s">
        <v>18</v>
      </c>
      <c r="H477">
        <v>9588</v>
      </c>
      <c r="I477">
        <v>12</v>
      </c>
      <c r="J477">
        <v>35</v>
      </c>
      <c r="K477">
        <f t="shared" si="21"/>
        <v>0</v>
      </c>
      <c r="L477" s="4">
        <f t="shared" ca="1" si="22"/>
        <v>18</v>
      </c>
      <c r="M477" t="str">
        <f t="shared" si="23"/>
        <v>Oct-2024</v>
      </c>
      <c r="N477" t="s">
        <v>23</v>
      </c>
    </row>
    <row r="478" spans="1:14" x14ac:dyDescent="0.25">
      <c r="A478" t="s">
        <v>506</v>
      </c>
      <c r="B478" s="1">
        <v>45881</v>
      </c>
      <c r="D478">
        <v>57</v>
      </c>
      <c r="E478" t="s">
        <v>21</v>
      </c>
      <c r="F478" t="s">
        <v>13</v>
      </c>
      <c r="G478" t="s">
        <v>18</v>
      </c>
      <c r="H478">
        <v>1598</v>
      </c>
      <c r="I478">
        <v>2</v>
      </c>
      <c r="J478">
        <v>78</v>
      </c>
      <c r="K478">
        <f t="shared" si="21"/>
        <v>0</v>
      </c>
      <c r="L478" s="4">
        <f t="shared" ca="1" si="22"/>
        <v>8</v>
      </c>
      <c r="M478" t="str">
        <f t="shared" si="23"/>
        <v>Aug-2025</v>
      </c>
      <c r="N478" t="s">
        <v>19</v>
      </c>
    </row>
    <row r="479" spans="1:14" x14ac:dyDescent="0.25">
      <c r="A479" t="s">
        <v>507</v>
      </c>
      <c r="B479" s="1">
        <v>45403</v>
      </c>
      <c r="D479">
        <v>50</v>
      </c>
      <c r="E479" t="s">
        <v>21</v>
      </c>
      <c r="F479" t="s">
        <v>41</v>
      </c>
      <c r="G479" t="s">
        <v>18</v>
      </c>
      <c r="H479">
        <v>14382</v>
      </c>
      <c r="I479">
        <v>18</v>
      </c>
      <c r="J479">
        <v>85</v>
      </c>
      <c r="K479">
        <f t="shared" si="21"/>
        <v>0</v>
      </c>
      <c r="L479" s="4">
        <f t="shared" ca="1" si="22"/>
        <v>24</v>
      </c>
      <c r="M479" t="str">
        <f t="shared" si="23"/>
        <v>Apr-2024</v>
      </c>
      <c r="N479" t="s">
        <v>19</v>
      </c>
    </row>
    <row r="480" spans="1:14" x14ac:dyDescent="0.25">
      <c r="A480" t="s">
        <v>508</v>
      </c>
      <c r="B480" s="1">
        <v>45887</v>
      </c>
      <c r="D480">
        <v>22</v>
      </c>
      <c r="E480" t="s">
        <v>21</v>
      </c>
      <c r="F480" t="s">
        <v>13</v>
      </c>
      <c r="G480" t="s">
        <v>18</v>
      </c>
      <c r="H480">
        <v>1598</v>
      </c>
      <c r="I480">
        <v>2</v>
      </c>
      <c r="J480">
        <v>49</v>
      </c>
      <c r="K480">
        <f t="shared" si="21"/>
        <v>0</v>
      </c>
      <c r="L480" s="4">
        <f t="shared" ca="1" si="22"/>
        <v>7</v>
      </c>
      <c r="M480" t="str">
        <f t="shared" si="23"/>
        <v>Aug-2025</v>
      </c>
      <c r="N480" t="s">
        <v>23</v>
      </c>
    </row>
    <row r="481" spans="1:14" x14ac:dyDescent="0.25">
      <c r="A481" t="s">
        <v>509</v>
      </c>
      <c r="B481" s="1">
        <v>45704</v>
      </c>
      <c r="D481">
        <v>54</v>
      </c>
      <c r="E481" t="s">
        <v>21</v>
      </c>
      <c r="F481" t="s">
        <v>47</v>
      </c>
      <c r="G481" t="s">
        <v>30</v>
      </c>
      <c r="H481">
        <v>5992</v>
      </c>
      <c r="I481">
        <v>8</v>
      </c>
      <c r="J481">
        <v>49</v>
      </c>
      <c r="K481">
        <f t="shared" si="21"/>
        <v>0</v>
      </c>
      <c r="L481" s="4">
        <f t="shared" ca="1" si="22"/>
        <v>14</v>
      </c>
      <c r="M481" t="str">
        <f t="shared" si="23"/>
        <v>Feb-2025</v>
      </c>
      <c r="N481" t="s">
        <v>23</v>
      </c>
    </row>
    <row r="482" spans="1:14" x14ac:dyDescent="0.25">
      <c r="A482" t="s">
        <v>510</v>
      </c>
      <c r="B482" s="1">
        <v>45247</v>
      </c>
      <c r="D482">
        <v>48</v>
      </c>
      <c r="E482" t="s">
        <v>21</v>
      </c>
      <c r="F482" t="s">
        <v>17</v>
      </c>
      <c r="G482" t="s">
        <v>30</v>
      </c>
      <c r="H482">
        <v>17227</v>
      </c>
      <c r="I482">
        <v>23</v>
      </c>
      <c r="J482">
        <v>68</v>
      </c>
      <c r="K482">
        <f t="shared" si="21"/>
        <v>0</v>
      </c>
      <c r="L482" s="4">
        <f t="shared" ca="1" si="22"/>
        <v>29</v>
      </c>
      <c r="M482" t="str">
        <f t="shared" si="23"/>
        <v>Nov-2023</v>
      </c>
      <c r="N482" t="s">
        <v>23</v>
      </c>
    </row>
    <row r="483" spans="1:14" x14ac:dyDescent="0.25">
      <c r="A483" t="s">
        <v>511</v>
      </c>
      <c r="B483" s="1">
        <v>45035</v>
      </c>
      <c r="D483">
        <v>48</v>
      </c>
      <c r="E483" t="s">
        <v>21</v>
      </c>
      <c r="F483" t="s">
        <v>32</v>
      </c>
      <c r="G483" t="s">
        <v>18</v>
      </c>
      <c r="H483">
        <v>23970</v>
      </c>
      <c r="I483">
        <v>30</v>
      </c>
      <c r="J483">
        <v>86</v>
      </c>
      <c r="K483">
        <f t="shared" si="21"/>
        <v>0</v>
      </c>
      <c r="L483" s="4">
        <f t="shared" ca="1" si="22"/>
        <v>36</v>
      </c>
      <c r="M483" t="str">
        <f t="shared" si="23"/>
        <v>Apr-2023</v>
      </c>
      <c r="N483" t="s">
        <v>15</v>
      </c>
    </row>
    <row r="484" spans="1:14" x14ac:dyDescent="0.25">
      <c r="A484" t="s">
        <v>512</v>
      </c>
      <c r="B484" s="1">
        <v>45290</v>
      </c>
      <c r="D484">
        <v>41</v>
      </c>
      <c r="E484" t="s">
        <v>21</v>
      </c>
      <c r="F484" t="s">
        <v>32</v>
      </c>
      <c r="G484" t="s">
        <v>18</v>
      </c>
      <c r="H484">
        <v>17578</v>
      </c>
      <c r="I484">
        <v>22</v>
      </c>
      <c r="J484">
        <v>2</v>
      </c>
      <c r="K484">
        <f t="shared" si="21"/>
        <v>0</v>
      </c>
      <c r="L484" s="4">
        <f t="shared" ca="1" si="22"/>
        <v>27</v>
      </c>
      <c r="M484" t="str">
        <f t="shared" si="23"/>
        <v>Dec-2023</v>
      </c>
      <c r="N484" t="s">
        <v>19</v>
      </c>
    </row>
    <row r="485" spans="1:14" x14ac:dyDescent="0.25">
      <c r="A485" t="s">
        <v>513</v>
      </c>
      <c r="B485" s="1">
        <v>45429</v>
      </c>
      <c r="D485">
        <v>22</v>
      </c>
      <c r="E485" t="s">
        <v>12</v>
      </c>
      <c r="F485" t="s">
        <v>41</v>
      </c>
      <c r="G485" t="s">
        <v>30</v>
      </c>
      <c r="H485">
        <v>12733</v>
      </c>
      <c r="I485">
        <v>17</v>
      </c>
      <c r="J485">
        <v>42</v>
      </c>
      <c r="K485">
        <f t="shared" si="21"/>
        <v>0</v>
      </c>
      <c r="L485" s="4">
        <f t="shared" ca="1" si="22"/>
        <v>23</v>
      </c>
      <c r="M485" t="str">
        <f t="shared" si="23"/>
        <v>May-2024</v>
      </c>
      <c r="N485" t="s">
        <v>25</v>
      </c>
    </row>
    <row r="486" spans="1:14" x14ac:dyDescent="0.25">
      <c r="A486" t="s">
        <v>514</v>
      </c>
      <c r="B486" s="1">
        <v>44900</v>
      </c>
      <c r="C486" s="1">
        <v>45050</v>
      </c>
      <c r="D486">
        <v>28</v>
      </c>
      <c r="E486" t="s">
        <v>12</v>
      </c>
      <c r="F486" t="s">
        <v>27</v>
      </c>
      <c r="G486" t="s">
        <v>18</v>
      </c>
      <c r="H486">
        <v>3995</v>
      </c>
      <c r="I486">
        <v>5</v>
      </c>
      <c r="J486">
        <v>55</v>
      </c>
      <c r="K486">
        <f t="shared" si="21"/>
        <v>1</v>
      </c>
      <c r="L486" s="4">
        <f t="shared" ca="1" si="22"/>
        <v>5</v>
      </c>
      <c r="M486" t="str">
        <f t="shared" si="23"/>
        <v>Dec-2022</v>
      </c>
      <c r="N486" t="s">
        <v>19</v>
      </c>
    </row>
    <row r="487" spans="1:14" x14ac:dyDescent="0.25">
      <c r="A487" t="s">
        <v>515</v>
      </c>
      <c r="B487" s="1">
        <v>45409</v>
      </c>
      <c r="D487">
        <v>22</v>
      </c>
      <c r="E487" t="s">
        <v>12</v>
      </c>
      <c r="F487" t="s">
        <v>47</v>
      </c>
      <c r="G487" t="s">
        <v>14</v>
      </c>
      <c r="H487">
        <v>12582</v>
      </c>
      <c r="I487">
        <v>18</v>
      </c>
      <c r="J487">
        <v>79</v>
      </c>
      <c r="K487">
        <f t="shared" si="21"/>
        <v>0</v>
      </c>
      <c r="L487" s="4">
        <f t="shared" ca="1" si="22"/>
        <v>23</v>
      </c>
      <c r="M487" t="str">
        <f t="shared" si="23"/>
        <v>Apr-2024</v>
      </c>
      <c r="N487" t="s">
        <v>23</v>
      </c>
    </row>
    <row r="488" spans="1:14" x14ac:dyDescent="0.25">
      <c r="A488" t="s">
        <v>516</v>
      </c>
      <c r="B488" s="1">
        <v>45022</v>
      </c>
      <c r="D488">
        <v>34</v>
      </c>
      <c r="E488" t="s">
        <v>12</v>
      </c>
      <c r="F488" t="s">
        <v>57</v>
      </c>
      <c r="G488" t="s">
        <v>18</v>
      </c>
      <c r="H488">
        <v>24769</v>
      </c>
      <c r="I488">
        <v>31</v>
      </c>
      <c r="J488">
        <v>36</v>
      </c>
      <c r="K488">
        <f t="shared" si="21"/>
        <v>0</v>
      </c>
      <c r="L488" s="4">
        <f t="shared" ca="1" si="22"/>
        <v>36</v>
      </c>
      <c r="M488" t="str">
        <f t="shared" si="23"/>
        <v>Apr-2023</v>
      </c>
      <c r="N488" t="s">
        <v>23</v>
      </c>
    </row>
    <row r="489" spans="1:14" x14ac:dyDescent="0.25">
      <c r="A489" t="s">
        <v>517</v>
      </c>
      <c r="B489" s="1">
        <v>45554</v>
      </c>
      <c r="D489">
        <v>56</v>
      </c>
      <c r="E489" t="s">
        <v>21</v>
      </c>
      <c r="F489" t="s">
        <v>41</v>
      </c>
      <c r="G489" t="s">
        <v>18</v>
      </c>
      <c r="H489">
        <v>10387</v>
      </c>
      <c r="I489">
        <v>13</v>
      </c>
      <c r="J489">
        <v>63</v>
      </c>
      <c r="K489">
        <f t="shared" si="21"/>
        <v>0</v>
      </c>
      <c r="L489" s="4">
        <f t="shared" ca="1" si="22"/>
        <v>19</v>
      </c>
      <c r="M489" t="str">
        <f t="shared" si="23"/>
        <v>Sep-2024</v>
      </c>
      <c r="N489" t="s">
        <v>19</v>
      </c>
    </row>
    <row r="490" spans="1:14" x14ac:dyDescent="0.25">
      <c r="A490" t="s">
        <v>518</v>
      </c>
      <c r="B490" s="1">
        <v>45048</v>
      </c>
      <c r="D490">
        <v>56</v>
      </c>
      <c r="E490" t="s">
        <v>21</v>
      </c>
      <c r="F490" t="s">
        <v>17</v>
      </c>
      <c r="G490" t="s">
        <v>30</v>
      </c>
      <c r="H490">
        <v>22470</v>
      </c>
      <c r="I490">
        <v>30</v>
      </c>
      <c r="J490">
        <v>90</v>
      </c>
      <c r="K490">
        <f t="shared" si="21"/>
        <v>0</v>
      </c>
      <c r="L490" s="4">
        <f t="shared" ca="1" si="22"/>
        <v>35</v>
      </c>
      <c r="M490" t="str">
        <f t="shared" si="23"/>
        <v>May-2023</v>
      </c>
      <c r="N490" t="s">
        <v>25</v>
      </c>
    </row>
    <row r="491" spans="1:14" x14ac:dyDescent="0.25">
      <c r="A491" t="s">
        <v>519</v>
      </c>
      <c r="B491" s="1">
        <v>45489</v>
      </c>
      <c r="D491">
        <v>19</v>
      </c>
      <c r="E491" t="s">
        <v>12</v>
      </c>
      <c r="F491" t="s">
        <v>17</v>
      </c>
      <c r="G491" t="s">
        <v>18</v>
      </c>
      <c r="H491">
        <v>11985</v>
      </c>
      <c r="I491">
        <v>15</v>
      </c>
      <c r="J491">
        <v>78</v>
      </c>
      <c r="K491">
        <f t="shared" si="21"/>
        <v>0</v>
      </c>
      <c r="L491" s="4">
        <f t="shared" ca="1" si="22"/>
        <v>21</v>
      </c>
      <c r="M491" t="str">
        <f t="shared" si="23"/>
        <v>Jul-2024</v>
      </c>
      <c r="N491" t="s">
        <v>19</v>
      </c>
    </row>
    <row r="492" spans="1:14" x14ac:dyDescent="0.25">
      <c r="A492" t="s">
        <v>520</v>
      </c>
      <c r="B492" s="1">
        <v>45677</v>
      </c>
      <c r="D492">
        <v>24</v>
      </c>
      <c r="E492" t="s">
        <v>21</v>
      </c>
      <c r="F492" t="s">
        <v>47</v>
      </c>
      <c r="G492" t="s">
        <v>18</v>
      </c>
      <c r="H492">
        <v>7191</v>
      </c>
      <c r="I492">
        <v>9</v>
      </c>
      <c r="J492">
        <v>65</v>
      </c>
      <c r="K492">
        <f t="shared" si="21"/>
        <v>0</v>
      </c>
      <c r="L492" s="4">
        <f t="shared" ca="1" si="22"/>
        <v>14</v>
      </c>
      <c r="M492" t="str">
        <f t="shared" si="23"/>
        <v>Jan-2025</v>
      </c>
      <c r="N492" t="s">
        <v>19</v>
      </c>
    </row>
    <row r="493" spans="1:14" x14ac:dyDescent="0.25">
      <c r="A493" t="s">
        <v>521</v>
      </c>
      <c r="B493" s="1">
        <v>45449</v>
      </c>
      <c r="D493">
        <v>42</v>
      </c>
      <c r="E493" t="s">
        <v>12</v>
      </c>
      <c r="F493" t="s">
        <v>38</v>
      </c>
      <c r="G493" t="s">
        <v>18</v>
      </c>
      <c r="H493">
        <v>13583</v>
      </c>
      <c r="I493">
        <v>17</v>
      </c>
      <c r="J493">
        <v>61</v>
      </c>
      <c r="K493">
        <f t="shared" si="21"/>
        <v>0</v>
      </c>
      <c r="L493" s="4">
        <f t="shared" ca="1" si="22"/>
        <v>22</v>
      </c>
      <c r="M493" t="str">
        <f t="shared" si="23"/>
        <v>Jun-2024</v>
      </c>
      <c r="N493" t="s">
        <v>25</v>
      </c>
    </row>
    <row r="494" spans="1:14" x14ac:dyDescent="0.25">
      <c r="A494" t="s">
        <v>522</v>
      </c>
      <c r="B494" s="1">
        <v>45040</v>
      </c>
      <c r="C494" s="1">
        <v>45070</v>
      </c>
      <c r="D494">
        <v>26</v>
      </c>
      <c r="E494" t="s">
        <v>21</v>
      </c>
      <c r="F494" t="s">
        <v>27</v>
      </c>
      <c r="G494" t="s">
        <v>18</v>
      </c>
      <c r="H494">
        <v>799</v>
      </c>
      <c r="I494">
        <v>1</v>
      </c>
      <c r="J494">
        <v>81</v>
      </c>
      <c r="K494">
        <f t="shared" si="21"/>
        <v>1</v>
      </c>
      <c r="L494" s="4">
        <f t="shared" ca="1" si="22"/>
        <v>1</v>
      </c>
      <c r="M494" t="str">
        <f t="shared" si="23"/>
        <v>Apr-2023</v>
      </c>
      <c r="N494" t="s">
        <v>19</v>
      </c>
    </row>
    <row r="495" spans="1:14" x14ac:dyDescent="0.25">
      <c r="A495" t="s">
        <v>523</v>
      </c>
      <c r="B495" s="1">
        <v>45607</v>
      </c>
      <c r="D495">
        <v>40</v>
      </c>
      <c r="E495" t="s">
        <v>21</v>
      </c>
      <c r="F495" t="s">
        <v>22</v>
      </c>
      <c r="G495" t="s">
        <v>14</v>
      </c>
      <c r="H495">
        <v>7689</v>
      </c>
      <c r="I495">
        <v>11</v>
      </c>
      <c r="J495">
        <v>66</v>
      </c>
      <c r="K495">
        <f t="shared" si="21"/>
        <v>0</v>
      </c>
      <c r="L495" s="4">
        <f t="shared" ca="1" si="22"/>
        <v>17</v>
      </c>
      <c r="M495" t="str">
        <f t="shared" si="23"/>
        <v>Nov-2024</v>
      </c>
      <c r="N495" t="s">
        <v>19</v>
      </c>
    </row>
    <row r="496" spans="1:14" x14ac:dyDescent="0.25">
      <c r="A496" t="s">
        <v>524</v>
      </c>
      <c r="B496" s="1">
        <v>45303</v>
      </c>
      <c r="D496">
        <v>42</v>
      </c>
      <c r="E496" t="s">
        <v>21</v>
      </c>
      <c r="F496" t="s">
        <v>47</v>
      </c>
      <c r="G496" t="s">
        <v>14</v>
      </c>
      <c r="H496">
        <v>14679</v>
      </c>
      <c r="I496">
        <v>21</v>
      </c>
      <c r="J496">
        <v>12</v>
      </c>
      <c r="K496">
        <f t="shared" si="21"/>
        <v>0</v>
      </c>
      <c r="L496" s="4">
        <f t="shared" ca="1" si="22"/>
        <v>27</v>
      </c>
      <c r="M496" t="str">
        <f t="shared" si="23"/>
        <v>Jan-2024</v>
      </c>
      <c r="N496" t="s">
        <v>23</v>
      </c>
    </row>
    <row r="497" spans="1:14" x14ac:dyDescent="0.25">
      <c r="A497" t="s">
        <v>525</v>
      </c>
      <c r="B497" s="1">
        <v>45317</v>
      </c>
      <c r="D497">
        <v>52</v>
      </c>
      <c r="E497" t="s">
        <v>12</v>
      </c>
      <c r="F497" t="s">
        <v>57</v>
      </c>
      <c r="G497" t="s">
        <v>18</v>
      </c>
      <c r="H497">
        <v>16779</v>
      </c>
      <c r="I497">
        <v>21</v>
      </c>
      <c r="J497">
        <v>81</v>
      </c>
      <c r="K497">
        <f t="shared" si="21"/>
        <v>0</v>
      </c>
      <c r="L497" s="4">
        <f t="shared" ca="1" si="22"/>
        <v>26</v>
      </c>
      <c r="M497" t="str">
        <f t="shared" si="23"/>
        <v>Jan-2024</v>
      </c>
      <c r="N497" t="s">
        <v>19</v>
      </c>
    </row>
    <row r="498" spans="1:14" x14ac:dyDescent="0.25">
      <c r="A498" t="s">
        <v>526</v>
      </c>
      <c r="B498" s="1">
        <v>44996</v>
      </c>
      <c r="D498">
        <v>27</v>
      </c>
      <c r="E498" t="s">
        <v>12</v>
      </c>
      <c r="F498" t="s">
        <v>41</v>
      </c>
      <c r="G498" t="s">
        <v>18</v>
      </c>
      <c r="H498">
        <v>25568</v>
      </c>
      <c r="I498">
        <v>32</v>
      </c>
      <c r="J498">
        <v>88</v>
      </c>
      <c r="K498">
        <f t="shared" si="21"/>
        <v>0</v>
      </c>
      <c r="L498" s="4">
        <f t="shared" ca="1" si="22"/>
        <v>37</v>
      </c>
      <c r="M498" t="str">
        <f t="shared" si="23"/>
        <v>Mar-2023</v>
      </c>
      <c r="N498" t="s">
        <v>19</v>
      </c>
    </row>
    <row r="499" spans="1:14" x14ac:dyDescent="0.25">
      <c r="A499" t="s">
        <v>527</v>
      </c>
      <c r="B499" s="1">
        <v>44963</v>
      </c>
      <c r="D499">
        <v>31</v>
      </c>
      <c r="E499" t="s">
        <v>21</v>
      </c>
      <c r="F499" t="s">
        <v>22</v>
      </c>
      <c r="G499" t="s">
        <v>30</v>
      </c>
      <c r="H499">
        <v>24717</v>
      </c>
      <c r="I499">
        <v>33</v>
      </c>
      <c r="J499">
        <v>65</v>
      </c>
      <c r="K499">
        <f t="shared" si="21"/>
        <v>0</v>
      </c>
      <c r="L499" s="4">
        <f t="shared" ca="1" si="22"/>
        <v>38</v>
      </c>
      <c r="M499" t="str">
        <f t="shared" si="23"/>
        <v>Feb-2023</v>
      </c>
      <c r="N499" t="s">
        <v>23</v>
      </c>
    </row>
    <row r="500" spans="1:14" x14ac:dyDescent="0.25">
      <c r="A500" t="s">
        <v>528</v>
      </c>
      <c r="B500" s="1">
        <v>45114</v>
      </c>
      <c r="C500" s="1">
        <v>45234</v>
      </c>
      <c r="D500">
        <v>22</v>
      </c>
      <c r="E500" t="s">
        <v>21</v>
      </c>
      <c r="F500" t="s">
        <v>29</v>
      </c>
      <c r="G500" t="s">
        <v>18</v>
      </c>
      <c r="H500">
        <v>3196</v>
      </c>
      <c r="I500">
        <v>4</v>
      </c>
      <c r="J500">
        <v>10</v>
      </c>
      <c r="K500">
        <f t="shared" si="21"/>
        <v>1</v>
      </c>
      <c r="L500" s="4">
        <f t="shared" ca="1" si="22"/>
        <v>4</v>
      </c>
      <c r="M500" t="str">
        <f t="shared" si="23"/>
        <v>Jul-2023</v>
      </c>
      <c r="N500" t="s">
        <v>25</v>
      </c>
    </row>
    <row r="501" spans="1:14" x14ac:dyDescent="0.25">
      <c r="A501" t="s">
        <v>529</v>
      </c>
      <c r="B501" s="1">
        <v>45696</v>
      </c>
      <c r="D501">
        <v>52</v>
      </c>
      <c r="E501" t="s">
        <v>12</v>
      </c>
      <c r="F501" t="s">
        <v>38</v>
      </c>
      <c r="G501" t="s">
        <v>30</v>
      </c>
      <c r="H501">
        <v>5992</v>
      </c>
      <c r="I501">
        <v>8</v>
      </c>
      <c r="J501">
        <v>53</v>
      </c>
      <c r="K501">
        <f t="shared" si="21"/>
        <v>0</v>
      </c>
      <c r="L501" s="4">
        <f t="shared" ca="1" si="22"/>
        <v>14</v>
      </c>
      <c r="M501" t="str">
        <f t="shared" si="23"/>
        <v>Feb-2025</v>
      </c>
      <c r="N501" t="s">
        <v>23</v>
      </c>
    </row>
    <row r="502" spans="1:14" x14ac:dyDescent="0.25">
      <c r="A502" t="s">
        <v>530</v>
      </c>
      <c r="B502" s="1">
        <v>45524</v>
      </c>
      <c r="D502">
        <v>59</v>
      </c>
      <c r="E502" t="s">
        <v>12</v>
      </c>
      <c r="F502" t="s">
        <v>27</v>
      </c>
      <c r="G502" t="s">
        <v>30</v>
      </c>
      <c r="H502">
        <v>10486</v>
      </c>
      <c r="I502">
        <v>14</v>
      </c>
      <c r="J502">
        <v>70</v>
      </c>
      <c r="K502">
        <f t="shared" si="21"/>
        <v>0</v>
      </c>
      <c r="L502" s="4">
        <f t="shared" ca="1" si="22"/>
        <v>20</v>
      </c>
      <c r="M502" t="str">
        <f t="shared" si="23"/>
        <v>Aug-2024</v>
      </c>
      <c r="N502" t="s">
        <v>19</v>
      </c>
    </row>
    <row r="503" spans="1:14" x14ac:dyDescent="0.25">
      <c r="A503" t="s">
        <v>531</v>
      </c>
      <c r="B503" s="1">
        <v>45734</v>
      </c>
      <c r="D503">
        <v>27</v>
      </c>
      <c r="E503" t="s">
        <v>21</v>
      </c>
      <c r="F503" t="s">
        <v>27</v>
      </c>
      <c r="G503" t="s">
        <v>30</v>
      </c>
      <c r="H503">
        <v>5243</v>
      </c>
      <c r="I503">
        <v>7</v>
      </c>
      <c r="J503">
        <v>56</v>
      </c>
      <c r="K503">
        <f t="shared" si="21"/>
        <v>0</v>
      </c>
      <c r="L503" s="4">
        <f t="shared" ca="1" si="22"/>
        <v>13</v>
      </c>
      <c r="M503" t="str">
        <f t="shared" si="23"/>
        <v>Mar-2025</v>
      </c>
      <c r="N503" t="s">
        <v>19</v>
      </c>
    </row>
    <row r="504" spans="1:14" x14ac:dyDescent="0.25">
      <c r="A504" t="s">
        <v>532</v>
      </c>
      <c r="B504" s="1">
        <v>44870</v>
      </c>
      <c r="D504">
        <v>27</v>
      </c>
      <c r="E504" t="s">
        <v>12</v>
      </c>
      <c r="F504" t="s">
        <v>29</v>
      </c>
      <c r="G504" t="s">
        <v>18</v>
      </c>
      <c r="H504">
        <v>28764</v>
      </c>
      <c r="I504">
        <v>36</v>
      </c>
      <c r="J504">
        <v>58</v>
      </c>
      <c r="K504">
        <f t="shared" si="21"/>
        <v>0</v>
      </c>
      <c r="L504" s="4">
        <f t="shared" ca="1" si="22"/>
        <v>41</v>
      </c>
      <c r="M504" t="str">
        <f t="shared" si="23"/>
        <v>Nov-2022</v>
      </c>
      <c r="N504" t="s">
        <v>25</v>
      </c>
    </row>
    <row r="505" spans="1:14" x14ac:dyDescent="0.25">
      <c r="A505" t="s">
        <v>533</v>
      </c>
      <c r="B505" s="1">
        <v>45261</v>
      </c>
      <c r="D505">
        <v>55</v>
      </c>
      <c r="E505" t="s">
        <v>21</v>
      </c>
      <c r="F505" t="s">
        <v>13</v>
      </c>
      <c r="G505" t="s">
        <v>14</v>
      </c>
      <c r="H505">
        <v>16077</v>
      </c>
      <c r="I505">
        <v>23</v>
      </c>
      <c r="J505">
        <v>74</v>
      </c>
      <c r="K505">
        <f t="shared" si="21"/>
        <v>0</v>
      </c>
      <c r="L505" s="4">
        <f t="shared" ca="1" si="22"/>
        <v>28</v>
      </c>
      <c r="M505" t="str">
        <f t="shared" si="23"/>
        <v>Dec-2023</v>
      </c>
      <c r="N505" t="s">
        <v>23</v>
      </c>
    </row>
    <row r="506" spans="1:14" x14ac:dyDescent="0.25">
      <c r="A506" t="s">
        <v>534</v>
      </c>
      <c r="B506" s="1">
        <v>44944</v>
      </c>
      <c r="C506" s="1">
        <v>45364</v>
      </c>
      <c r="D506">
        <v>54</v>
      </c>
      <c r="E506" t="s">
        <v>21</v>
      </c>
      <c r="F506" t="s">
        <v>47</v>
      </c>
      <c r="G506" t="s">
        <v>18</v>
      </c>
      <c r="H506">
        <v>11186</v>
      </c>
      <c r="I506">
        <v>14</v>
      </c>
      <c r="J506">
        <v>59</v>
      </c>
      <c r="K506">
        <f t="shared" si="21"/>
        <v>1</v>
      </c>
      <c r="L506" s="4">
        <f t="shared" ca="1" si="22"/>
        <v>14</v>
      </c>
      <c r="M506" t="str">
        <f t="shared" si="23"/>
        <v>Jan-2023</v>
      </c>
      <c r="N506" t="s">
        <v>25</v>
      </c>
    </row>
    <row r="507" spans="1:14" x14ac:dyDescent="0.25">
      <c r="A507" t="s">
        <v>535</v>
      </c>
      <c r="B507" s="1">
        <v>44887</v>
      </c>
      <c r="D507">
        <v>42</v>
      </c>
      <c r="E507" t="s">
        <v>21</v>
      </c>
      <c r="F507" t="s">
        <v>17</v>
      </c>
      <c r="G507" t="s">
        <v>30</v>
      </c>
      <c r="H507">
        <v>26215</v>
      </c>
      <c r="I507">
        <v>35</v>
      </c>
      <c r="J507">
        <v>48</v>
      </c>
      <c r="K507">
        <f t="shared" si="21"/>
        <v>0</v>
      </c>
      <c r="L507" s="4">
        <f t="shared" ca="1" si="22"/>
        <v>41</v>
      </c>
      <c r="M507" t="str">
        <f t="shared" si="23"/>
        <v>Nov-2022</v>
      </c>
      <c r="N507" t="s">
        <v>25</v>
      </c>
    </row>
    <row r="508" spans="1:14" x14ac:dyDescent="0.25">
      <c r="A508" t="s">
        <v>536</v>
      </c>
      <c r="B508" s="1">
        <v>45590</v>
      </c>
      <c r="C508" s="1">
        <v>45770</v>
      </c>
      <c r="D508">
        <v>49</v>
      </c>
      <c r="E508" t="s">
        <v>21</v>
      </c>
      <c r="F508" t="s">
        <v>32</v>
      </c>
      <c r="G508" t="s">
        <v>30</v>
      </c>
      <c r="H508">
        <v>4494</v>
      </c>
      <c r="I508">
        <v>6</v>
      </c>
      <c r="J508">
        <v>66</v>
      </c>
      <c r="K508">
        <f t="shared" si="21"/>
        <v>1</v>
      </c>
      <c r="L508" s="4">
        <f t="shared" ca="1" si="22"/>
        <v>6</v>
      </c>
      <c r="M508" t="str">
        <f t="shared" si="23"/>
        <v>Oct-2024</v>
      </c>
      <c r="N508" t="s">
        <v>23</v>
      </c>
    </row>
    <row r="509" spans="1:14" x14ac:dyDescent="0.25">
      <c r="A509" t="s">
        <v>537</v>
      </c>
      <c r="B509" s="1">
        <v>45121</v>
      </c>
      <c r="D509">
        <v>18</v>
      </c>
      <c r="E509" t="s">
        <v>12</v>
      </c>
      <c r="F509" t="s">
        <v>17</v>
      </c>
      <c r="G509" t="s">
        <v>18</v>
      </c>
      <c r="H509">
        <v>22372</v>
      </c>
      <c r="I509">
        <v>28</v>
      </c>
      <c r="J509">
        <v>57</v>
      </c>
      <c r="K509">
        <f t="shared" si="21"/>
        <v>0</v>
      </c>
      <c r="L509" s="4">
        <f t="shared" ca="1" si="22"/>
        <v>33</v>
      </c>
      <c r="M509" t="str">
        <f t="shared" si="23"/>
        <v>Jul-2023</v>
      </c>
      <c r="N509" t="s">
        <v>19</v>
      </c>
    </row>
    <row r="510" spans="1:14" x14ac:dyDescent="0.25">
      <c r="A510" t="s">
        <v>538</v>
      </c>
      <c r="B510" s="1">
        <v>45592</v>
      </c>
      <c r="D510">
        <v>45</v>
      </c>
      <c r="E510" t="s">
        <v>12</v>
      </c>
      <c r="F510" t="s">
        <v>17</v>
      </c>
      <c r="G510" t="s">
        <v>30</v>
      </c>
      <c r="H510">
        <v>8988</v>
      </c>
      <c r="I510">
        <v>12</v>
      </c>
      <c r="J510">
        <v>71</v>
      </c>
      <c r="K510">
        <f t="shared" si="21"/>
        <v>0</v>
      </c>
      <c r="L510" s="4">
        <f t="shared" ca="1" si="22"/>
        <v>17</v>
      </c>
      <c r="M510" t="str">
        <f t="shared" si="23"/>
        <v>Oct-2024</v>
      </c>
      <c r="N510" t="s">
        <v>19</v>
      </c>
    </row>
    <row r="511" spans="1:14" x14ac:dyDescent="0.25">
      <c r="A511" t="s">
        <v>539</v>
      </c>
      <c r="B511" s="1">
        <v>45149</v>
      </c>
      <c r="C511" s="1">
        <v>45389</v>
      </c>
      <c r="D511">
        <v>38</v>
      </c>
      <c r="E511" t="s">
        <v>21</v>
      </c>
      <c r="F511" t="s">
        <v>47</v>
      </c>
      <c r="G511" t="s">
        <v>18</v>
      </c>
      <c r="H511">
        <v>6392</v>
      </c>
      <c r="I511">
        <v>8</v>
      </c>
      <c r="J511">
        <v>100</v>
      </c>
      <c r="K511">
        <f t="shared" si="21"/>
        <v>1</v>
      </c>
      <c r="L511" s="4">
        <f t="shared" ca="1" si="22"/>
        <v>8</v>
      </c>
      <c r="M511" t="str">
        <f t="shared" si="23"/>
        <v>Aug-2023</v>
      </c>
      <c r="N511" t="s">
        <v>19</v>
      </c>
    </row>
    <row r="512" spans="1:14" x14ac:dyDescent="0.25">
      <c r="A512" t="s">
        <v>540</v>
      </c>
      <c r="B512" s="1">
        <v>45422</v>
      </c>
      <c r="D512">
        <v>46</v>
      </c>
      <c r="E512" t="s">
        <v>15</v>
      </c>
      <c r="F512" t="s">
        <v>27</v>
      </c>
      <c r="G512" t="s">
        <v>30</v>
      </c>
      <c r="H512">
        <v>13482</v>
      </c>
      <c r="I512">
        <v>18</v>
      </c>
      <c r="J512">
        <v>68</v>
      </c>
      <c r="K512">
        <f t="shared" si="21"/>
        <v>0</v>
      </c>
      <c r="L512" s="4">
        <f t="shared" ca="1" si="22"/>
        <v>23</v>
      </c>
      <c r="M512" t="str">
        <f t="shared" si="23"/>
        <v>May-2024</v>
      </c>
      <c r="N512" t="s">
        <v>19</v>
      </c>
    </row>
    <row r="513" spans="1:14" x14ac:dyDescent="0.25">
      <c r="A513" t="s">
        <v>541</v>
      </c>
      <c r="B513" s="1">
        <v>45741</v>
      </c>
      <c r="D513">
        <v>35</v>
      </c>
      <c r="E513" t="s">
        <v>12</v>
      </c>
      <c r="F513" t="s">
        <v>41</v>
      </c>
      <c r="G513" t="s">
        <v>18</v>
      </c>
      <c r="H513">
        <v>5593</v>
      </c>
      <c r="I513">
        <v>7</v>
      </c>
      <c r="J513">
        <v>69</v>
      </c>
      <c r="K513">
        <f t="shared" si="21"/>
        <v>0</v>
      </c>
      <c r="L513" s="4">
        <f t="shared" ca="1" si="22"/>
        <v>12</v>
      </c>
      <c r="M513" t="str">
        <f t="shared" si="23"/>
        <v>Mar-2025</v>
      </c>
      <c r="N513" t="s">
        <v>19</v>
      </c>
    </row>
    <row r="514" spans="1:14" x14ac:dyDescent="0.25">
      <c r="A514" t="s">
        <v>542</v>
      </c>
      <c r="B514" s="1">
        <v>45440</v>
      </c>
      <c r="D514">
        <v>49</v>
      </c>
      <c r="E514" t="s">
        <v>21</v>
      </c>
      <c r="F514" t="s">
        <v>32</v>
      </c>
      <c r="G514" t="s">
        <v>18</v>
      </c>
      <c r="H514">
        <v>13583</v>
      </c>
      <c r="I514">
        <v>17</v>
      </c>
      <c r="J514">
        <v>55</v>
      </c>
      <c r="K514">
        <f t="shared" si="21"/>
        <v>0</v>
      </c>
      <c r="L514" s="4">
        <f t="shared" ca="1" si="22"/>
        <v>22</v>
      </c>
      <c r="M514" t="str">
        <f t="shared" si="23"/>
        <v>May-2024</v>
      </c>
      <c r="N514" t="s">
        <v>19</v>
      </c>
    </row>
    <row r="515" spans="1:14" x14ac:dyDescent="0.25">
      <c r="A515" t="s">
        <v>543</v>
      </c>
      <c r="B515" s="1">
        <v>45365</v>
      </c>
      <c r="D515">
        <v>54</v>
      </c>
      <c r="E515" t="s">
        <v>21</v>
      </c>
      <c r="F515" t="s">
        <v>47</v>
      </c>
      <c r="G515" t="s">
        <v>14</v>
      </c>
      <c r="H515">
        <v>13281</v>
      </c>
      <c r="I515">
        <v>19</v>
      </c>
      <c r="J515">
        <v>55</v>
      </c>
      <c r="K515">
        <f t="shared" ref="K515:K578" si="24">IF(ISBLANK(C515), 0, 1)</f>
        <v>0</v>
      </c>
      <c r="L515" s="4">
        <f t="shared" ref="L515:L578" ca="1" si="25">ROUNDUP(DATEDIF(B515, IF(ISBLANK(C515), TODAY(), C515), "d")/30, 0)</f>
        <v>25</v>
      </c>
      <c r="M515" t="str">
        <f t="shared" ref="M515:M578" si="26">TEXT(B515, "mmm-yyyy")</f>
        <v>Mar-2024</v>
      </c>
      <c r="N515" t="s">
        <v>25</v>
      </c>
    </row>
    <row r="516" spans="1:14" x14ac:dyDescent="0.25">
      <c r="A516" t="s">
        <v>544</v>
      </c>
      <c r="B516" s="1">
        <v>44893</v>
      </c>
      <c r="D516">
        <v>29</v>
      </c>
      <c r="E516" t="s">
        <v>21</v>
      </c>
      <c r="F516" t="s">
        <v>13</v>
      </c>
      <c r="G516" t="s">
        <v>18</v>
      </c>
      <c r="H516">
        <v>27965</v>
      </c>
      <c r="I516">
        <v>35</v>
      </c>
      <c r="J516">
        <v>46</v>
      </c>
      <c r="K516">
        <f t="shared" si="24"/>
        <v>0</v>
      </c>
      <c r="L516" s="4">
        <f t="shared" ca="1" si="25"/>
        <v>41</v>
      </c>
      <c r="M516" t="str">
        <f t="shared" si="26"/>
        <v>Nov-2022</v>
      </c>
      <c r="N516" t="s">
        <v>19</v>
      </c>
    </row>
    <row r="517" spans="1:14" x14ac:dyDescent="0.25">
      <c r="A517" t="s">
        <v>545</v>
      </c>
      <c r="B517" s="1">
        <v>45645</v>
      </c>
      <c r="D517">
        <v>39</v>
      </c>
      <c r="E517" t="s">
        <v>21</v>
      </c>
      <c r="F517" t="s">
        <v>32</v>
      </c>
      <c r="G517" t="s">
        <v>30</v>
      </c>
      <c r="H517">
        <v>7490</v>
      </c>
      <c r="I517">
        <v>10</v>
      </c>
      <c r="J517">
        <v>8</v>
      </c>
      <c r="K517">
        <f t="shared" si="24"/>
        <v>0</v>
      </c>
      <c r="L517" s="4">
        <f t="shared" ca="1" si="25"/>
        <v>16</v>
      </c>
      <c r="M517" t="str">
        <f t="shared" si="26"/>
        <v>Dec-2024</v>
      </c>
      <c r="N517" t="s">
        <v>15</v>
      </c>
    </row>
    <row r="518" spans="1:14" x14ac:dyDescent="0.25">
      <c r="A518" t="s">
        <v>546</v>
      </c>
      <c r="B518" s="1">
        <v>44936</v>
      </c>
      <c r="D518">
        <v>51</v>
      </c>
      <c r="E518" t="s">
        <v>12</v>
      </c>
      <c r="F518" t="s">
        <v>17</v>
      </c>
      <c r="G518" t="s">
        <v>18</v>
      </c>
      <c r="H518">
        <v>27166</v>
      </c>
      <c r="I518">
        <v>34</v>
      </c>
      <c r="J518">
        <v>46</v>
      </c>
      <c r="K518">
        <f t="shared" si="24"/>
        <v>0</v>
      </c>
      <c r="L518" s="4">
        <f t="shared" ca="1" si="25"/>
        <v>39</v>
      </c>
      <c r="M518" t="str">
        <f t="shared" si="26"/>
        <v>Jan-2023</v>
      </c>
      <c r="N518" t="s">
        <v>19</v>
      </c>
    </row>
    <row r="519" spans="1:14" x14ac:dyDescent="0.25">
      <c r="A519" t="s">
        <v>547</v>
      </c>
      <c r="B519" s="1">
        <v>44939</v>
      </c>
      <c r="C519" s="1">
        <v>45389</v>
      </c>
      <c r="D519">
        <v>38</v>
      </c>
      <c r="E519" t="s">
        <v>21</v>
      </c>
      <c r="F519" t="s">
        <v>41</v>
      </c>
      <c r="G519" t="s">
        <v>18</v>
      </c>
      <c r="H519">
        <v>11985</v>
      </c>
      <c r="I519">
        <v>15</v>
      </c>
      <c r="J519">
        <v>61</v>
      </c>
      <c r="K519">
        <f t="shared" si="24"/>
        <v>1</v>
      </c>
      <c r="L519" s="4">
        <f t="shared" ca="1" si="25"/>
        <v>15</v>
      </c>
      <c r="M519" t="str">
        <f t="shared" si="26"/>
        <v>Jan-2023</v>
      </c>
      <c r="N519" t="s">
        <v>19</v>
      </c>
    </row>
    <row r="520" spans="1:14" x14ac:dyDescent="0.25">
      <c r="A520" t="s">
        <v>548</v>
      </c>
      <c r="B520" s="1">
        <v>45246</v>
      </c>
      <c r="C520" s="1">
        <v>45516</v>
      </c>
      <c r="D520">
        <v>38</v>
      </c>
      <c r="E520" t="s">
        <v>12</v>
      </c>
      <c r="F520" t="s">
        <v>38</v>
      </c>
      <c r="G520" t="s">
        <v>30</v>
      </c>
      <c r="H520">
        <v>6741</v>
      </c>
      <c r="I520">
        <v>9</v>
      </c>
      <c r="J520">
        <v>47</v>
      </c>
      <c r="K520">
        <f t="shared" si="24"/>
        <v>1</v>
      </c>
      <c r="L520" s="4">
        <f t="shared" ca="1" si="25"/>
        <v>9</v>
      </c>
      <c r="M520" t="str">
        <f t="shared" si="26"/>
        <v>Nov-2023</v>
      </c>
      <c r="N520" t="s">
        <v>23</v>
      </c>
    </row>
    <row r="521" spans="1:14" x14ac:dyDescent="0.25">
      <c r="A521" t="s">
        <v>549</v>
      </c>
      <c r="B521" s="1">
        <v>45830</v>
      </c>
      <c r="C521" s="1">
        <v>45950</v>
      </c>
      <c r="D521">
        <v>51</v>
      </c>
      <c r="E521" t="s">
        <v>21</v>
      </c>
      <c r="F521" t="s">
        <v>29</v>
      </c>
      <c r="G521" t="s">
        <v>18</v>
      </c>
      <c r="H521">
        <v>3196</v>
      </c>
      <c r="I521">
        <v>4</v>
      </c>
      <c r="J521">
        <v>83</v>
      </c>
      <c r="K521">
        <f t="shared" si="24"/>
        <v>1</v>
      </c>
      <c r="L521" s="4">
        <f t="shared" ca="1" si="25"/>
        <v>4</v>
      </c>
      <c r="M521" t="str">
        <f t="shared" si="26"/>
        <v>Jun-2025</v>
      </c>
      <c r="N521" t="s">
        <v>23</v>
      </c>
    </row>
    <row r="522" spans="1:14" x14ac:dyDescent="0.25">
      <c r="A522" t="s">
        <v>550</v>
      </c>
      <c r="B522" s="1">
        <v>45782</v>
      </c>
      <c r="D522">
        <v>38</v>
      </c>
      <c r="E522" t="s">
        <v>21</v>
      </c>
      <c r="F522" t="s">
        <v>47</v>
      </c>
      <c r="G522" t="s">
        <v>18</v>
      </c>
      <c r="H522">
        <v>4794</v>
      </c>
      <c r="I522">
        <v>6</v>
      </c>
      <c r="J522">
        <v>81</v>
      </c>
      <c r="K522">
        <f t="shared" si="24"/>
        <v>0</v>
      </c>
      <c r="L522" s="4">
        <f t="shared" ca="1" si="25"/>
        <v>11</v>
      </c>
      <c r="M522" t="str">
        <f t="shared" si="26"/>
        <v>May-2025</v>
      </c>
      <c r="N522" t="s">
        <v>19</v>
      </c>
    </row>
    <row r="523" spans="1:14" x14ac:dyDescent="0.25">
      <c r="A523" t="s">
        <v>551</v>
      </c>
      <c r="B523" s="1">
        <v>45850</v>
      </c>
      <c r="D523">
        <v>57</v>
      </c>
      <c r="E523" t="s">
        <v>21</v>
      </c>
      <c r="F523" t="s">
        <v>32</v>
      </c>
      <c r="G523" t="s">
        <v>14</v>
      </c>
      <c r="H523">
        <v>2097</v>
      </c>
      <c r="I523">
        <v>3</v>
      </c>
      <c r="J523">
        <v>71</v>
      </c>
      <c r="K523">
        <f t="shared" si="24"/>
        <v>0</v>
      </c>
      <c r="L523" s="4">
        <f t="shared" ca="1" si="25"/>
        <v>9</v>
      </c>
      <c r="M523" t="str">
        <f t="shared" si="26"/>
        <v>Jul-2025</v>
      </c>
      <c r="N523" t="s">
        <v>19</v>
      </c>
    </row>
    <row r="524" spans="1:14" x14ac:dyDescent="0.25">
      <c r="A524" t="s">
        <v>552</v>
      </c>
      <c r="B524" s="1">
        <v>44981</v>
      </c>
      <c r="D524">
        <v>59</v>
      </c>
      <c r="E524" t="s">
        <v>12</v>
      </c>
      <c r="F524" t="s">
        <v>13</v>
      </c>
      <c r="G524" t="s">
        <v>14</v>
      </c>
      <c r="H524">
        <v>22368</v>
      </c>
      <c r="I524">
        <v>32</v>
      </c>
      <c r="J524">
        <v>100</v>
      </c>
      <c r="K524">
        <f t="shared" si="24"/>
        <v>0</v>
      </c>
      <c r="L524" s="4">
        <f t="shared" ca="1" si="25"/>
        <v>38</v>
      </c>
      <c r="M524" t="str">
        <f t="shared" si="26"/>
        <v>Feb-2023</v>
      </c>
      <c r="N524" t="s">
        <v>19</v>
      </c>
    </row>
    <row r="525" spans="1:14" x14ac:dyDescent="0.25">
      <c r="A525" t="s">
        <v>553</v>
      </c>
      <c r="B525" s="1">
        <v>44937</v>
      </c>
      <c r="D525">
        <v>49</v>
      </c>
      <c r="E525" t="s">
        <v>21</v>
      </c>
      <c r="F525" t="s">
        <v>13</v>
      </c>
      <c r="G525" t="s">
        <v>30</v>
      </c>
      <c r="H525">
        <v>25466</v>
      </c>
      <c r="I525">
        <v>34</v>
      </c>
      <c r="J525">
        <v>42</v>
      </c>
      <c r="K525">
        <f t="shared" si="24"/>
        <v>0</v>
      </c>
      <c r="L525" s="4">
        <f t="shared" ca="1" si="25"/>
        <v>39</v>
      </c>
      <c r="M525" t="str">
        <f t="shared" si="26"/>
        <v>Jan-2023</v>
      </c>
      <c r="N525" t="s">
        <v>19</v>
      </c>
    </row>
    <row r="526" spans="1:14" x14ac:dyDescent="0.25">
      <c r="A526" t="s">
        <v>554</v>
      </c>
      <c r="B526" s="1">
        <v>45274</v>
      </c>
      <c r="D526">
        <v>24</v>
      </c>
      <c r="E526" t="s">
        <v>12</v>
      </c>
      <c r="F526" t="s">
        <v>29</v>
      </c>
      <c r="G526" t="s">
        <v>18</v>
      </c>
      <c r="H526">
        <v>17578</v>
      </c>
      <c r="I526">
        <v>22</v>
      </c>
      <c r="J526">
        <v>69</v>
      </c>
      <c r="K526">
        <f t="shared" si="24"/>
        <v>0</v>
      </c>
      <c r="L526" s="4">
        <f t="shared" ca="1" si="25"/>
        <v>28</v>
      </c>
      <c r="M526" t="str">
        <f t="shared" si="26"/>
        <v>Dec-2023</v>
      </c>
      <c r="N526" t="s">
        <v>19</v>
      </c>
    </row>
    <row r="527" spans="1:14" x14ac:dyDescent="0.25">
      <c r="A527" t="s">
        <v>555</v>
      </c>
      <c r="B527" s="1">
        <v>44927</v>
      </c>
      <c r="D527">
        <v>46</v>
      </c>
      <c r="E527" t="s">
        <v>21</v>
      </c>
      <c r="F527" t="s">
        <v>32</v>
      </c>
      <c r="G527" t="s">
        <v>14</v>
      </c>
      <c r="H527">
        <v>23766</v>
      </c>
      <c r="I527">
        <v>34</v>
      </c>
      <c r="J527">
        <v>52</v>
      </c>
      <c r="K527">
        <f t="shared" si="24"/>
        <v>0</v>
      </c>
      <c r="L527" s="4">
        <f t="shared" ca="1" si="25"/>
        <v>39</v>
      </c>
      <c r="M527" t="str">
        <f t="shared" si="26"/>
        <v>Jan-2023</v>
      </c>
      <c r="N527" t="s">
        <v>19</v>
      </c>
    </row>
    <row r="528" spans="1:14" x14ac:dyDescent="0.25">
      <c r="A528" t="s">
        <v>556</v>
      </c>
      <c r="B528" s="1">
        <v>45383</v>
      </c>
      <c r="C528" s="1">
        <v>45623</v>
      </c>
      <c r="D528">
        <v>23</v>
      </c>
      <c r="E528" t="s">
        <v>21</v>
      </c>
      <c r="F528" t="s">
        <v>38</v>
      </c>
      <c r="G528" t="s">
        <v>18</v>
      </c>
      <c r="H528">
        <v>6392</v>
      </c>
      <c r="I528">
        <v>8</v>
      </c>
      <c r="J528">
        <v>14</v>
      </c>
      <c r="K528">
        <f t="shared" si="24"/>
        <v>1</v>
      </c>
      <c r="L528" s="4">
        <f t="shared" ca="1" si="25"/>
        <v>8</v>
      </c>
      <c r="M528" t="str">
        <f t="shared" si="26"/>
        <v>Apr-2024</v>
      </c>
      <c r="N528" t="s">
        <v>23</v>
      </c>
    </row>
    <row r="529" spans="1:14" x14ac:dyDescent="0.25">
      <c r="A529" t="s">
        <v>557</v>
      </c>
      <c r="B529" s="1">
        <v>45516</v>
      </c>
      <c r="D529">
        <v>20</v>
      </c>
      <c r="E529" t="s">
        <v>21</v>
      </c>
      <c r="F529" t="s">
        <v>57</v>
      </c>
      <c r="G529" t="s">
        <v>18</v>
      </c>
      <c r="H529">
        <v>11186</v>
      </c>
      <c r="I529">
        <v>14</v>
      </c>
      <c r="J529">
        <v>58</v>
      </c>
      <c r="K529">
        <f t="shared" si="24"/>
        <v>0</v>
      </c>
      <c r="L529" s="4">
        <f t="shared" ca="1" si="25"/>
        <v>20</v>
      </c>
      <c r="M529" t="str">
        <f t="shared" si="26"/>
        <v>Aug-2024</v>
      </c>
      <c r="N529" t="s">
        <v>23</v>
      </c>
    </row>
    <row r="530" spans="1:14" x14ac:dyDescent="0.25">
      <c r="A530" t="s">
        <v>558</v>
      </c>
      <c r="B530" s="1">
        <v>45584</v>
      </c>
      <c r="D530">
        <v>31</v>
      </c>
      <c r="E530" t="s">
        <v>12</v>
      </c>
      <c r="F530" t="s">
        <v>47</v>
      </c>
      <c r="G530" t="s">
        <v>30</v>
      </c>
      <c r="H530">
        <v>8988</v>
      </c>
      <c r="I530">
        <v>12</v>
      </c>
      <c r="J530">
        <v>68</v>
      </c>
      <c r="K530">
        <f t="shared" si="24"/>
        <v>0</v>
      </c>
      <c r="L530" s="4">
        <f t="shared" ca="1" si="25"/>
        <v>18</v>
      </c>
      <c r="M530" t="str">
        <f t="shared" si="26"/>
        <v>Oct-2024</v>
      </c>
      <c r="N530" t="s">
        <v>25</v>
      </c>
    </row>
    <row r="531" spans="1:14" x14ac:dyDescent="0.25">
      <c r="A531" t="s">
        <v>559</v>
      </c>
      <c r="B531" s="1">
        <v>45848</v>
      </c>
      <c r="C531" s="1">
        <v>45938</v>
      </c>
      <c r="D531">
        <v>58</v>
      </c>
      <c r="E531" t="s">
        <v>21</v>
      </c>
      <c r="F531" t="s">
        <v>22</v>
      </c>
      <c r="G531" t="s">
        <v>18</v>
      </c>
      <c r="H531">
        <v>2397</v>
      </c>
      <c r="I531">
        <v>3</v>
      </c>
      <c r="J531">
        <v>77</v>
      </c>
      <c r="K531">
        <f t="shared" si="24"/>
        <v>1</v>
      </c>
      <c r="L531" s="4">
        <f t="shared" ca="1" si="25"/>
        <v>3</v>
      </c>
      <c r="M531" t="str">
        <f t="shared" si="26"/>
        <v>Jul-2025</v>
      </c>
      <c r="N531" t="s">
        <v>23</v>
      </c>
    </row>
    <row r="532" spans="1:14" x14ac:dyDescent="0.25">
      <c r="A532" t="s">
        <v>560</v>
      </c>
      <c r="B532" s="1">
        <v>45824</v>
      </c>
      <c r="D532">
        <v>45</v>
      </c>
      <c r="E532" t="s">
        <v>12</v>
      </c>
      <c r="F532" t="s">
        <v>22</v>
      </c>
      <c r="G532" t="s">
        <v>18</v>
      </c>
      <c r="H532">
        <v>3196</v>
      </c>
      <c r="I532">
        <v>4</v>
      </c>
      <c r="J532">
        <v>65</v>
      </c>
      <c r="K532">
        <f t="shared" si="24"/>
        <v>0</v>
      </c>
      <c r="L532" s="4">
        <f t="shared" ca="1" si="25"/>
        <v>10</v>
      </c>
      <c r="M532" t="str">
        <f t="shared" si="26"/>
        <v>Jun-2025</v>
      </c>
      <c r="N532" t="s">
        <v>23</v>
      </c>
    </row>
    <row r="533" spans="1:14" x14ac:dyDescent="0.25">
      <c r="A533" t="s">
        <v>561</v>
      </c>
      <c r="B533" s="1">
        <v>45608</v>
      </c>
      <c r="D533">
        <v>28</v>
      </c>
      <c r="E533" t="s">
        <v>21</v>
      </c>
      <c r="F533" t="s">
        <v>27</v>
      </c>
      <c r="G533" t="s">
        <v>18</v>
      </c>
      <c r="H533">
        <v>8789</v>
      </c>
      <c r="I533">
        <v>11</v>
      </c>
      <c r="J533">
        <v>78</v>
      </c>
      <c r="K533">
        <f t="shared" si="24"/>
        <v>0</v>
      </c>
      <c r="L533" s="4">
        <f t="shared" ca="1" si="25"/>
        <v>17</v>
      </c>
      <c r="M533" t="str">
        <f t="shared" si="26"/>
        <v>Nov-2024</v>
      </c>
      <c r="N533" t="s">
        <v>19</v>
      </c>
    </row>
    <row r="534" spans="1:14" x14ac:dyDescent="0.25">
      <c r="A534" t="s">
        <v>562</v>
      </c>
      <c r="B534" s="1">
        <v>45172</v>
      </c>
      <c r="C534" s="1">
        <v>45232</v>
      </c>
      <c r="D534">
        <v>33</v>
      </c>
      <c r="E534" t="s">
        <v>12</v>
      </c>
      <c r="F534" t="s">
        <v>27</v>
      </c>
      <c r="G534" t="s">
        <v>18</v>
      </c>
      <c r="H534">
        <v>1598</v>
      </c>
      <c r="I534">
        <v>2</v>
      </c>
      <c r="J534">
        <v>60</v>
      </c>
      <c r="K534">
        <f t="shared" si="24"/>
        <v>1</v>
      </c>
      <c r="L534" s="4">
        <f t="shared" ca="1" si="25"/>
        <v>2</v>
      </c>
      <c r="M534" t="str">
        <f t="shared" si="26"/>
        <v>Sep-2023</v>
      </c>
      <c r="N534" t="s">
        <v>19</v>
      </c>
    </row>
    <row r="535" spans="1:14" x14ac:dyDescent="0.25">
      <c r="A535" t="s">
        <v>563</v>
      </c>
      <c r="B535" s="1">
        <v>45214</v>
      </c>
      <c r="D535">
        <v>37</v>
      </c>
      <c r="E535" t="s">
        <v>12</v>
      </c>
      <c r="F535" t="s">
        <v>17</v>
      </c>
      <c r="G535" t="s">
        <v>30</v>
      </c>
      <c r="H535">
        <v>17976</v>
      </c>
      <c r="I535">
        <v>24</v>
      </c>
      <c r="J535">
        <v>39</v>
      </c>
      <c r="K535">
        <f t="shared" si="24"/>
        <v>0</v>
      </c>
      <c r="L535" s="4">
        <f t="shared" ca="1" si="25"/>
        <v>30</v>
      </c>
      <c r="M535" t="str">
        <f t="shared" si="26"/>
        <v>Oct-2023</v>
      </c>
      <c r="N535" t="s">
        <v>23</v>
      </c>
    </row>
    <row r="536" spans="1:14" x14ac:dyDescent="0.25">
      <c r="A536" t="s">
        <v>564</v>
      </c>
      <c r="B536" s="1">
        <v>45280</v>
      </c>
      <c r="D536">
        <v>59</v>
      </c>
      <c r="E536" t="s">
        <v>21</v>
      </c>
      <c r="F536" t="s">
        <v>17</v>
      </c>
      <c r="G536" t="s">
        <v>14</v>
      </c>
      <c r="H536">
        <v>15378</v>
      </c>
      <c r="I536">
        <v>22</v>
      </c>
      <c r="J536">
        <v>51</v>
      </c>
      <c r="K536">
        <f t="shared" si="24"/>
        <v>0</v>
      </c>
      <c r="L536" s="4">
        <f t="shared" ca="1" si="25"/>
        <v>28</v>
      </c>
      <c r="M536" t="str">
        <f t="shared" si="26"/>
        <v>Dec-2023</v>
      </c>
      <c r="N536" t="s">
        <v>19</v>
      </c>
    </row>
    <row r="537" spans="1:14" x14ac:dyDescent="0.25">
      <c r="A537" t="s">
        <v>565</v>
      </c>
      <c r="B537" s="1">
        <v>45618</v>
      </c>
      <c r="C537" s="1">
        <v>45798</v>
      </c>
      <c r="D537">
        <v>50</v>
      </c>
      <c r="E537" t="s">
        <v>12</v>
      </c>
      <c r="F537" t="s">
        <v>13</v>
      </c>
      <c r="G537" t="s">
        <v>18</v>
      </c>
      <c r="H537">
        <v>4794</v>
      </c>
      <c r="I537">
        <v>6</v>
      </c>
      <c r="J537">
        <v>33</v>
      </c>
      <c r="K537">
        <f t="shared" si="24"/>
        <v>1</v>
      </c>
      <c r="L537" s="4">
        <f t="shared" ca="1" si="25"/>
        <v>6</v>
      </c>
      <c r="M537" t="str">
        <f t="shared" si="26"/>
        <v>Nov-2024</v>
      </c>
      <c r="N537" t="s">
        <v>19</v>
      </c>
    </row>
    <row r="538" spans="1:14" x14ac:dyDescent="0.25">
      <c r="A538" t="s">
        <v>566</v>
      </c>
      <c r="B538" s="1">
        <v>45285</v>
      </c>
      <c r="D538">
        <v>60</v>
      </c>
      <c r="E538" t="s">
        <v>12</v>
      </c>
      <c r="F538" t="s">
        <v>17</v>
      </c>
      <c r="G538" t="s">
        <v>18</v>
      </c>
      <c r="H538">
        <v>17578</v>
      </c>
      <c r="I538">
        <v>22</v>
      </c>
      <c r="J538">
        <v>48</v>
      </c>
      <c r="K538">
        <f t="shared" si="24"/>
        <v>0</v>
      </c>
      <c r="L538" s="4">
        <f t="shared" ca="1" si="25"/>
        <v>28</v>
      </c>
      <c r="M538" t="str">
        <f t="shared" si="26"/>
        <v>Dec-2023</v>
      </c>
      <c r="N538" t="s">
        <v>25</v>
      </c>
    </row>
    <row r="539" spans="1:14" x14ac:dyDescent="0.25">
      <c r="A539" t="s">
        <v>567</v>
      </c>
      <c r="B539" s="1">
        <v>45604</v>
      </c>
      <c r="D539">
        <v>46</v>
      </c>
      <c r="E539" t="s">
        <v>12</v>
      </c>
      <c r="F539" t="s">
        <v>32</v>
      </c>
      <c r="G539" t="s">
        <v>30</v>
      </c>
      <c r="H539">
        <v>8239</v>
      </c>
      <c r="I539">
        <v>11</v>
      </c>
      <c r="J539">
        <v>74</v>
      </c>
      <c r="K539">
        <f t="shared" si="24"/>
        <v>0</v>
      </c>
      <c r="L539" s="4">
        <f t="shared" ca="1" si="25"/>
        <v>17</v>
      </c>
      <c r="M539" t="str">
        <f t="shared" si="26"/>
        <v>Nov-2024</v>
      </c>
      <c r="N539" t="s">
        <v>19</v>
      </c>
    </row>
    <row r="540" spans="1:14" x14ac:dyDescent="0.25">
      <c r="A540" t="s">
        <v>568</v>
      </c>
      <c r="B540" s="1">
        <v>44955</v>
      </c>
      <c r="D540">
        <v>49</v>
      </c>
      <c r="E540" t="s">
        <v>21</v>
      </c>
      <c r="F540" t="s">
        <v>22</v>
      </c>
      <c r="G540" t="s">
        <v>18</v>
      </c>
      <c r="H540">
        <v>26367</v>
      </c>
      <c r="I540">
        <v>33</v>
      </c>
      <c r="J540">
        <v>100</v>
      </c>
      <c r="K540">
        <f t="shared" si="24"/>
        <v>0</v>
      </c>
      <c r="L540" s="4">
        <f t="shared" ca="1" si="25"/>
        <v>39</v>
      </c>
      <c r="M540" t="str">
        <f t="shared" si="26"/>
        <v>Jan-2023</v>
      </c>
      <c r="N540" t="s">
        <v>15</v>
      </c>
    </row>
    <row r="541" spans="1:14" x14ac:dyDescent="0.25">
      <c r="A541" t="s">
        <v>569</v>
      </c>
      <c r="B541" s="1">
        <v>45357</v>
      </c>
      <c r="D541">
        <v>56</v>
      </c>
      <c r="E541" t="s">
        <v>21</v>
      </c>
      <c r="F541" t="s">
        <v>29</v>
      </c>
      <c r="G541" t="s">
        <v>18</v>
      </c>
      <c r="H541">
        <v>15980</v>
      </c>
      <c r="I541">
        <v>20</v>
      </c>
      <c r="J541">
        <v>90</v>
      </c>
      <c r="K541">
        <f t="shared" si="24"/>
        <v>0</v>
      </c>
      <c r="L541" s="4">
        <f t="shared" ca="1" si="25"/>
        <v>25</v>
      </c>
      <c r="M541" t="str">
        <f t="shared" si="26"/>
        <v>Mar-2024</v>
      </c>
      <c r="N541" t="s">
        <v>25</v>
      </c>
    </row>
    <row r="542" spans="1:14" x14ac:dyDescent="0.25">
      <c r="A542" t="s">
        <v>570</v>
      </c>
      <c r="B542" s="1">
        <v>45652</v>
      </c>
      <c r="C542" s="1">
        <v>45892</v>
      </c>
      <c r="D542">
        <v>57</v>
      </c>
      <c r="E542" t="s">
        <v>12</v>
      </c>
      <c r="F542" t="s">
        <v>17</v>
      </c>
      <c r="G542" t="s">
        <v>30</v>
      </c>
      <c r="H542">
        <v>5992</v>
      </c>
      <c r="I542">
        <v>8</v>
      </c>
      <c r="J542">
        <v>100</v>
      </c>
      <c r="K542">
        <f t="shared" si="24"/>
        <v>1</v>
      </c>
      <c r="L542" s="4">
        <f t="shared" ca="1" si="25"/>
        <v>8</v>
      </c>
      <c r="M542" t="str">
        <f t="shared" si="26"/>
        <v>Dec-2024</v>
      </c>
      <c r="N542" t="s">
        <v>25</v>
      </c>
    </row>
    <row r="543" spans="1:14" x14ac:dyDescent="0.25">
      <c r="A543" t="s">
        <v>571</v>
      </c>
      <c r="B543" s="1">
        <v>44922</v>
      </c>
      <c r="D543">
        <v>33</v>
      </c>
      <c r="E543" t="s">
        <v>12</v>
      </c>
      <c r="F543" t="s">
        <v>57</v>
      </c>
      <c r="G543" t="s">
        <v>18</v>
      </c>
      <c r="H543">
        <v>27166</v>
      </c>
      <c r="I543">
        <v>34</v>
      </c>
      <c r="J543">
        <v>65</v>
      </c>
      <c r="K543">
        <f t="shared" si="24"/>
        <v>0</v>
      </c>
      <c r="L543" s="4">
        <f t="shared" ca="1" si="25"/>
        <v>40</v>
      </c>
      <c r="M543" t="str">
        <f t="shared" si="26"/>
        <v>Dec-2022</v>
      </c>
      <c r="N543" t="s">
        <v>23</v>
      </c>
    </row>
    <row r="544" spans="1:14" x14ac:dyDescent="0.25">
      <c r="A544" t="s">
        <v>572</v>
      </c>
      <c r="B544" s="1">
        <v>44949</v>
      </c>
      <c r="D544">
        <v>41</v>
      </c>
      <c r="E544" t="s">
        <v>21</v>
      </c>
      <c r="F544" t="s">
        <v>17</v>
      </c>
      <c r="G544" t="s">
        <v>30</v>
      </c>
      <c r="H544">
        <v>24717</v>
      </c>
      <c r="I544">
        <v>33</v>
      </c>
      <c r="J544">
        <v>65</v>
      </c>
      <c r="K544">
        <f t="shared" si="24"/>
        <v>0</v>
      </c>
      <c r="L544" s="4">
        <f t="shared" ca="1" si="25"/>
        <v>39</v>
      </c>
      <c r="M544" t="str">
        <f t="shared" si="26"/>
        <v>Jan-2023</v>
      </c>
      <c r="N544" t="s">
        <v>15</v>
      </c>
    </row>
    <row r="545" spans="1:14" x14ac:dyDescent="0.25">
      <c r="A545" t="s">
        <v>573</v>
      </c>
      <c r="B545" s="1">
        <v>45514</v>
      </c>
      <c r="D545">
        <v>51</v>
      </c>
      <c r="E545" t="s">
        <v>21</v>
      </c>
      <c r="F545" t="s">
        <v>22</v>
      </c>
      <c r="G545" t="s">
        <v>18</v>
      </c>
      <c r="H545">
        <v>11186</v>
      </c>
      <c r="I545">
        <v>14</v>
      </c>
      <c r="J545">
        <v>47</v>
      </c>
      <c r="K545">
        <f t="shared" si="24"/>
        <v>0</v>
      </c>
      <c r="L545" s="4">
        <f t="shared" ca="1" si="25"/>
        <v>20</v>
      </c>
      <c r="M545" t="str">
        <f t="shared" si="26"/>
        <v>Aug-2024</v>
      </c>
      <c r="N545" t="s">
        <v>23</v>
      </c>
    </row>
    <row r="546" spans="1:14" x14ac:dyDescent="0.25">
      <c r="A546" t="s">
        <v>574</v>
      </c>
      <c r="B546" s="1">
        <v>44885</v>
      </c>
      <c r="D546">
        <v>45</v>
      </c>
      <c r="E546" t="s">
        <v>12</v>
      </c>
      <c r="F546" t="s">
        <v>29</v>
      </c>
      <c r="G546" t="s">
        <v>30</v>
      </c>
      <c r="H546">
        <v>26215</v>
      </c>
      <c r="I546">
        <v>35</v>
      </c>
      <c r="J546">
        <v>84</v>
      </c>
      <c r="K546">
        <f t="shared" si="24"/>
        <v>0</v>
      </c>
      <c r="L546" s="4">
        <f t="shared" ca="1" si="25"/>
        <v>41</v>
      </c>
      <c r="M546" t="str">
        <f t="shared" si="26"/>
        <v>Nov-2022</v>
      </c>
      <c r="N546" t="s">
        <v>15</v>
      </c>
    </row>
    <row r="547" spans="1:14" x14ac:dyDescent="0.25">
      <c r="A547" t="s">
        <v>575</v>
      </c>
      <c r="B547" s="1">
        <v>45190</v>
      </c>
      <c r="D547">
        <v>43</v>
      </c>
      <c r="E547" t="s">
        <v>21</v>
      </c>
      <c r="F547" t="s">
        <v>41</v>
      </c>
      <c r="G547" t="s">
        <v>30</v>
      </c>
      <c r="H547">
        <v>18725</v>
      </c>
      <c r="I547">
        <v>25</v>
      </c>
      <c r="J547">
        <v>81</v>
      </c>
      <c r="K547">
        <f t="shared" si="24"/>
        <v>0</v>
      </c>
      <c r="L547" s="4">
        <f t="shared" ca="1" si="25"/>
        <v>31</v>
      </c>
      <c r="M547" t="str">
        <f t="shared" si="26"/>
        <v>Sep-2023</v>
      </c>
      <c r="N547" t="s">
        <v>23</v>
      </c>
    </row>
    <row r="548" spans="1:14" x14ac:dyDescent="0.25">
      <c r="A548" t="s">
        <v>576</v>
      </c>
      <c r="B548" s="1">
        <v>44873</v>
      </c>
      <c r="D548">
        <v>22</v>
      </c>
      <c r="E548" t="s">
        <v>21</v>
      </c>
      <c r="F548" t="s">
        <v>17</v>
      </c>
      <c r="G548" t="s">
        <v>18</v>
      </c>
      <c r="H548">
        <v>28764</v>
      </c>
      <c r="I548">
        <v>36</v>
      </c>
      <c r="J548">
        <v>72</v>
      </c>
      <c r="K548">
        <f t="shared" si="24"/>
        <v>0</v>
      </c>
      <c r="L548" s="4">
        <f t="shared" ca="1" si="25"/>
        <v>41</v>
      </c>
      <c r="M548" t="str">
        <f t="shared" si="26"/>
        <v>Nov-2022</v>
      </c>
      <c r="N548" t="s">
        <v>25</v>
      </c>
    </row>
    <row r="549" spans="1:14" x14ac:dyDescent="0.25">
      <c r="A549" t="s">
        <v>577</v>
      </c>
      <c r="B549" s="1">
        <v>45296</v>
      </c>
      <c r="D549">
        <v>36</v>
      </c>
      <c r="E549" t="s">
        <v>12</v>
      </c>
      <c r="F549" t="s">
        <v>13</v>
      </c>
      <c r="G549" t="s">
        <v>30</v>
      </c>
      <c r="H549">
        <v>16478</v>
      </c>
      <c r="I549">
        <v>22</v>
      </c>
      <c r="J549">
        <v>56</v>
      </c>
      <c r="K549">
        <f t="shared" si="24"/>
        <v>0</v>
      </c>
      <c r="L549" s="4">
        <f t="shared" ca="1" si="25"/>
        <v>27</v>
      </c>
      <c r="M549" t="str">
        <f t="shared" si="26"/>
        <v>Jan-2024</v>
      </c>
      <c r="N549" t="s">
        <v>19</v>
      </c>
    </row>
    <row r="550" spans="1:14" x14ac:dyDescent="0.25">
      <c r="A550" t="s">
        <v>578</v>
      </c>
      <c r="B550" s="1">
        <v>45622</v>
      </c>
      <c r="D550">
        <v>24</v>
      </c>
      <c r="E550" t="s">
        <v>21</v>
      </c>
      <c r="F550" t="s">
        <v>47</v>
      </c>
      <c r="G550" t="s">
        <v>14</v>
      </c>
      <c r="H550">
        <v>7689</v>
      </c>
      <c r="I550">
        <v>11</v>
      </c>
      <c r="J550">
        <v>74</v>
      </c>
      <c r="K550">
        <f t="shared" si="24"/>
        <v>0</v>
      </c>
      <c r="L550" s="4">
        <f t="shared" ca="1" si="25"/>
        <v>16</v>
      </c>
      <c r="M550" t="str">
        <f t="shared" si="26"/>
        <v>Nov-2024</v>
      </c>
      <c r="N550" t="s">
        <v>19</v>
      </c>
    </row>
    <row r="551" spans="1:14" x14ac:dyDescent="0.25">
      <c r="A551" t="s">
        <v>579</v>
      </c>
      <c r="B551" s="1">
        <v>44898</v>
      </c>
      <c r="D551">
        <v>57</v>
      </c>
      <c r="E551" t="s">
        <v>12</v>
      </c>
      <c r="F551" t="s">
        <v>57</v>
      </c>
      <c r="G551" t="s">
        <v>18</v>
      </c>
      <c r="H551">
        <v>27965</v>
      </c>
      <c r="I551">
        <v>35</v>
      </c>
      <c r="J551">
        <v>39</v>
      </c>
      <c r="K551">
        <f t="shared" si="24"/>
        <v>0</v>
      </c>
      <c r="L551" s="4">
        <f t="shared" ca="1" si="25"/>
        <v>40</v>
      </c>
      <c r="M551" t="str">
        <f t="shared" si="26"/>
        <v>Dec-2022</v>
      </c>
      <c r="N551" t="s">
        <v>25</v>
      </c>
    </row>
    <row r="552" spans="1:14" x14ac:dyDescent="0.25">
      <c r="A552" t="s">
        <v>580</v>
      </c>
      <c r="B552" s="1">
        <v>45729</v>
      </c>
      <c r="D552">
        <v>25</v>
      </c>
      <c r="E552" t="s">
        <v>21</v>
      </c>
      <c r="F552" t="s">
        <v>41</v>
      </c>
      <c r="G552" t="s">
        <v>14</v>
      </c>
      <c r="H552">
        <v>4893</v>
      </c>
      <c r="I552">
        <v>7</v>
      </c>
      <c r="J552">
        <v>100</v>
      </c>
      <c r="K552">
        <f t="shared" si="24"/>
        <v>0</v>
      </c>
      <c r="L552" s="4">
        <f t="shared" ca="1" si="25"/>
        <v>13</v>
      </c>
      <c r="M552" t="str">
        <f t="shared" si="26"/>
        <v>Mar-2025</v>
      </c>
      <c r="N552" t="s">
        <v>23</v>
      </c>
    </row>
    <row r="553" spans="1:14" x14ac:dyDescent="0.25">
      <c r="A553" t="s">
        <v>581</v>
      </c>
      <c r="B553" s="1">
        <v>45628</v>
      </c>
      <c r="D553">
        <v>20</v>
      </c>
      <c r="E553" t="s">
        <v>12</v>
      </c>
      <c r="F553" t="s">
        <v>57</v>
      </c>
      <c r="G553" t="s">
        <v>18</v>
      </c>
      <c r="H553">
        <v>8789</v>
      </c>
      <c r="I553">
        <v>11</v>
      </c>
      <c r="J553">
        <v>73</v>
      </c>
      <c r="K553">
        <f t="shared" si="24"/>
        <v>0</v>
      </c>
      <c r="L553" s="4">
        <f t="shared" ca="1" si="25"/>
        <v>16</v>
      </c>
      <c r="M553" t="str">
        <f t="shared" si="26"/>
        <v>Dec-2024</v>
      </c>
      <c r="N553" t="s">
        <v>19</v>
      </c>
    </row>
    <row r="554" spans="1:14" x14ac:dyDescent="0.25">
      <c r="A554" t="s">
        <v>582</v>
      </c>
      <c r="B554" s="1">
        <v>45455</v>
      </c>
      <c r="D554">
        <v>56</v>
      </c>
      <c r="E554" t="s">
        <v>12</v>
      </c>
      <c r="F554" t="s">
        <v>38</v>
      </c>
      <c r="G554" t="s">
        <v>30</v>
      </c>
      <c r="H554">
        <v>11984</v>
      </c>
      <c r="I554">
        <v>16</v>
      </c>
      <c r="J554">
        <v>70</v>
      </c>
      <c r="K554">
        <f t="shared" si="24"/>
        <v>0</v>
      </c>
      <c r="L554" s="4">
        <f t="shared" ca="1" si="25"/>
        <v>22</v>
      </c>
      <c r="M554" t="str">
        <f t="shared" si="26"/>
        <v>Jun-2024</v>
      </c>
      <c r="N554" t="s">
        <v>19</v>
      </c>
    </row>
    <row r="555" spans="1:14" x14ac:dyDescent="0.25">
      <c r="A555" t="s">
        <v>583</v>
      </c>
      <c r="B555" s="1">
        <v>44961</v>
      </c>
      <c r="D555">
        <v>34</v>
      </c>
      <c r="E555" t="s">
        <v>12</v>
      </c>
      <c r="F555" t="s">
        <v>13</v>
      </c>
      <c r="G555" t="s">
        <v>30</v>
      </c>
      <c r="H555">
        <v>24717</v>
      </c>
      <c r="I555">
        <v>33</v>
      </c>
      <c r="J555">
        <v>39</v>
      </c>
      <c r="K555">
        <f t="shared" si="24"/>
        <v>0</v>
      </c>
      <c r="L555" s="4">
        <f t="shared" ca="1" si="25"/>
        <v>38</v>
      </c>
      <c r="M555" t="str">
        <f t="shared" si="26"/>
        <v>Feb-2023</v>
      </c>
      <c r="N555" t="s">
        <v>19</v>
      </c>
    </row>
    <row r="556" spans="1:14" x14ac:dyDescent="0.25">
      <c r="A556" t="s">
        <v>584</v>
      </c>
      <c r="B556" s="1">
        <v>45648</v>
      </c>
      <c r="D556">
        <v>41</v>
      </c>
      <c r="E556" t="s">
        <v>12</v>
      </c>
      <c r="F556" t="s">
        <v>38</v>
      </c>
      <c r="G556" t="s">
        <v>18</v>
      </c>
      <c r="H556">
        <v>7990</v>
      </c>
      <c r="I556">
        <v>10</v>
      </c>
      <c r="J556">
        <v>76</v>
      </c>
      <c r="K556">
        <f t="shared" si="24"/>
        <v>0</v>
      </c>
      <c r="L556" s="4">
        <f t="shared" ca="1" si="25"/>
        <v>15</v>
      </c>
      <c r="M556" t="str">
        <f t="shared" si="26"/>
        <v>Dec-2024</v>
      </c>
      <c r="N556" t="s">
        <v>23</v>
      </c>
    </row>
    <row r="557" spans="1:14" x14ac:dyDescent="0.25">
      <c r="A557" t="s">
        <v>585</v>
      </c>
      <c r="B557" s="1">
        <v>45261</v>
      </c>
      <c r="C557" s="1">
        <v>45441</v>
      </c>
      <c r="D557">
        <v>36</v>
      </c>
      <c r="E557" t="s">
        <v>21</v>
      </c>
      <c r="F557" t="s">
        <v>41</v>
      </c>
      <c r="G557" t="s">
        <v>18</v>
      </c>
      <c r="H557">
        <v>4794</v>
      </c>
      <c r="I557">
        <v>6</v>
      </c>
      <c r="J557">
        <v>36</v>
      </c>
      <c r="K557">
        <f t="shared" si="24"/>
        <v>1</v>
      </c>
      <c r="L557" s="4">
        <f t="shared" ca="1" si="25"/>
        <v>6</v>
      </c>
      <c r="M557" t="str">
        <f t="shared" si="26"/>
        <v>Dec-2023</v>
      </c>
      <c r="N557" t="s">
        <v>19</v>
      </c>
    </row>
    <row r="558" spans="1:14" x14ac:dyDescent="0.25">
      <c r="A558" t="s">
        <v>586</v>
      </c>
      <c r="B558" s="1">
        <v>45128</v>
      </c>
      <c r="D558">
        <v>21</v>
      </c>
      <c r="E558" t="s">
        <v>21</v>
      </c>
      <c r="F558" t="s">
        <v>47</v>
      </c>
      <c r="G558" t="s">
        <v>30</v>
      </c>
      <c r="H558">
        <v>20223</v>
      </c>
      <c r="I558">
        <v>27</v>
      </c>
      <c r="J558">
        <v>66</v>
      </c>
      <c r="K558">
        <f t="shared" si="24"/>
        <v>0</v>
      </c>
      <c r="L558" s="4">
        <f t="shared" ca="1" si="25"/>
        <v>33</v>
      </c>
      <c r="M558" t="str">
        <f t="shared" si="26"/>
        <v>Jul-2023</v>
      </c>
      <c r="N558" t="s">
        <v>19</v>
      </c>
    </row>
    <row r="559" spans="1:14" x14ac:dyDescent="0.25">
      <c r="A559" t="s">
        <v>587</v>
      </c>
      <c r="B559" s="1">
        <v>44893</v>
      </c>
      <c r="D559">
        <v>28</v>
      </c>
      <c r="E559" t="s">
        <v>12</v>
      </c>
      <c r="F559" t="s">
        <v>38</v>
      </c>
      <c r="G559" t="s">
        <v>30</v>
      </c>
      <c r="H559">
        <v>26215</v>
      </c>
      <c r="I559">
        <v>35</v>
      </c>
      <c r="J559">
        <v>55</v>
      </c>
      <c r="K559">
        <f t="shared" si="24"/>
        <v>0</v>
      </c>
      <c r="L559" s="4">
        <f t="shared" ca="1" si="25"/>
        <v>41</v>
      </c>
      <c r="M559" t="str">
        <f t="shared" si="26"/>
        <v>Nov-2022</v>
      </c>
      <c r="N559" t="s">
        <v>23</v>
      </c>
    </row>
    <row r="560" spans="1:14" x14ac:dyDescent="0.25">
      <c r="A560" t="s">
        <v>588</v>
      </c>
      <c r="B560" s="1">
        <v>45655</v>
      </c>
      <c r="D560">
        <v>20</v>
      </c>
      <c r="E560" t="s">
        <v>21</v>
      </c>
      <c r="F560" t="s">
        <v>57</v>
      </c>
      <c r="G560" t="s">
        <v>30</v>
      </c>
      <c r="H560">
        <v>7490</v>
      </c>
      <c r="I560">
        <v>10</v>
      </c>
      <c r="J560">
        <v>36</v>
      </c>
      <c r="K560">
        <f t="shared" si="24"/>
        <v>0</v>
      </c>
      <c r="L560" s="4">
        <f t="shared" ca="1" si="25"/>
        <v>15</v>
      </c>
      <c r="M560" t="str">
        <f t="shared" si="26"/>
        <v>Dec-2024</v>
      </c>
      <c r="N560" t="s">
        <v>15</v>
      </c>
    </row>
    <row r="561" spans="1:14" x14ac:dyDescent="0.25">
      <c r="A561" t="s">
        <v>589</v>
      </c>
      <c r="B561" s="1">
        <v>45457</v>
      </c>
      <c r="D561">
        <v>26</v>
      </c>
      <c r="E561" t="s">
        <v>12</v>
      </c>
      <c r="F561" t="s">
        <v>27</v>
      </c>
      <c r="G561" t="s">
        <v>14</v>
      </c>
      <c r="H561">
        <v>11184</v>
      </c>
      <c r="I561">
        <v>16</v>
      </c>
      <c r="J561">
        <v>42</v>
      </c>
      <c r="K561">
        <f t="shared" si="24"/>
        <v>0</v>
      </c>
      <c r="L561" s="4">
        <f t="shared" ca="1" si="25"/>
        <v>22</v>
      </c>
      <c r="M561" t="str">
        <f t="shared" si="26"/>
        <v>Jun-2024</v>
      </c>
      <c r="N561" t="s">
        <v>23</v>
      </c>
    </row>
    <row r="562" spans="1:14" x14ac:dyDescent="0.25">
      <c r="A562" t="s">
        <v>590</v>
      </c>
      <c r="B562" s="1">
        <v>45900</v>
      </c>
      <c r="D562">
        <v>40</v>
      </c>
      <c r="E562" t="s">
        <v>12</v>
      </c>
      <c r="F562" t="s">
        <v>41</v>
      </c>
      <c r="G562" t="s">
        <v>18</v>
      </c>
      <c r="H562">
        <v>1598</v>
      </c>
      <c r="I562">
        <v>2</v>
      </c>
      <c r="J562">
        <v>86</v>
      </c>
      <c r="K562">
        <f t="shared" si="24"/>
        <v>0</v>
      </c>
      <c r="L562" s="4">
        <f t="shared" ca="1" si="25"/>
        <v>7</v>
      </c>
      <c r="M562" t="str">
        <f t="shared" si="26"/>
        <v>Aug-2025</v>
      </c>
      <c r="N562" t="s">
        <v>19</v>
      </c>
    </row>
    <row r="563" spans="1:14" x14ac:dyDescent="0.25">
      <c r="A563" t="s">
        <v>591</v>
      </c>
      <c r="B563" s="1">
        <v>45904</v>
      </c>
      <c r="D563">
        <v>55</v>
      </c>
      <c r="E563" t="s">
        <v>21</v>
      </c>
      <c r="F563" t="s">
        <v>32</v>
      </c>
      <c r="G563" t="s">
        <v>30</v>
      </c>
      <c r="H563">
        <v>749</v>
      </c>
      <c r="I563">
        <v>1</v>
      </c>
      <c r="J563">
        <v>52</v>
      </c>
      <c r="K563">
        <f t="shared" si="24"/>
        <v>0</v>
      </c>
      <c r="L563" s="4">
        <f t="shared" ca="1" si="25"/>
        <v>7</v>
      </c>
      <c r="M563" t="str">
        <f t="shared" si="26"/>
        <v>Sep-2025</v>
      </c>
      <c r="N563" t="s">
        <v>19</v>
      </c>
    </row>
    <row r="564" spans="1:14" x14ac:dyDescent="0.25">
      <c r="A564" t="s">
        <v>592</v>
      </c>
      <c r="B564" s="1">
        <v>45207</v>
      </c>
      <c r="D564">
        <v>40</v>
      </c>
      <c r="E564" t="s">
        <v>12</v>
      </c>
      <c r="F564" t="s">
        <v>13</v>
      </c>
      <c r="G564" t="s">
        <v>18</v>
      </c>
      <c r="H564">
        <v>19975</v>
      </c>
      <c r="I564">
        <v>25</v>
      </c>
      <c r="J564">
        <v>46</v>
      </c>
      <c r="K564">
        <f t="shared" si="24"/>
        <v>0</v>
      </c>
      <c r="L564" s="4">
        <f t="shared" ca="1" si="25"/>
        <v>30</v>
      </c>
      <c r="M564" t="str">
        <f t="shared" si="26"/>
        <v>Oct-2023</v>
      </c>
      <c r="N564" t="s">
        <v>19</v>
      </c>
    </row>
    <row r="565" spans="1:14" x14ac:dyDescent="0.25">
      <c r="A565" t="s">
        <v>593</v>
      </c>
      <c r="B565" s="1">
        <v>45248</v>
      </c>
      <c r="D565">
        <v>51</v>
      </c>
      <c r="E565" t="s">
        <v>12</v>
      </c>
      <c r="F565" t="s">
        <v>29</v>
      </c>
      <c r="G565" t="s">
        <v>18</v>
      </c>
      <c r="H565">
        <v>18377</v>
      </c>
      <c r="I565">
        <v>23</v>
      </c>
      <c r="J565">
        <v>68</v>
      </c>
      <c r="K565">
        <f t="shared" si="24"/>
        <v>0</v>
      </c>
      <c r="L565" s="4">
        <f t="shared" ca="1" si="25"/>
        <v>29</v>
      </c>
      <c r="M565" t="str">
        <f t="shared" si="26"/>
        <v>Nov-2023</v>
      </c>
      <c r="N565" t="s">
        <v>23</v>
      </c>
    </row>
    <row r="566" spans="1:14" x14ac:dyDescent="0.25">
      <c r="A566" t="s">
        <v>594</v>
      </c>
      <c r="B566" s="1">
        <v>45439</v>
      </c>
      <c r="D566">
        <v>48</v>
      </c>
      <c r="E566" t="s">
        <v>21</v>
      </c>
      <c r="F566" t="s">
        <v>41</v>
      </c>
      <c r="G566" t="s">
        <v>18</v>
      </c>
      <c r="H566">
        <v>13583</v>
      </c>
      <c r="I566">
        <v>17</v>
      </c>
      <c r="J566">
        <v>77</v>
      </c>
      <c r="K566">
        <f t="shared" si="24"/>
        <v>0</v>
      </c>
      <c r="L566" s="4">
        <f t="shared" ca="1" si="25"/>
        <v>22</v>
      </c>
      <c r="M566" t="str">
        <f t="shared" si="26"/>
        <v>May-2024</v>
      </c>
      <c r="N566" t="s">
        <v>23</v>
      </c>
    </row>
    <row r="567" spans="1:14" x14ac:dyDescent="0.25">
      <c r="A567" t="s">
        <v>595</v>
      </c>
      <c r="B567" s="1">
        <v>45130</v>
      </c>
      <c r="D567">
        <v>33</v>
      </c>
      <c r="E567" t="s">
        <v>21</v>
      </c>
      <c r="F567" t="s">
        <v>22</v>
      </c>
      <c r="G567" t="s">
        <v>14</v>
      </c>
      <c r="H567">
        <v>18873</v>
      </c>
      <c r="I567">
        <v>27</v>
      </c>
      <c r="J567">
        <v>57</v>
      </c>
      <c r="K567">
        <f t="shared" si="24"/>
        <v>0</v>
      </c>
      <c r="L567" s="4">
        <f t="shared" ca="1" si="25"/>
        <v>33</v>
      </c>
      <c r="M567" t="str">
        <f t="shared" si="26"/>
        <v>Jul-2023</v>
      </c>
      <c r="N567" t="s">
        <v>19</v>
      </c>
    </row>
    <row r="568" spans="1:14" x14ac:dyDescent="0.25">
      <c r="A568" t="s">
        <v>596</v>
      </c>
      <c r="B568" s="1">
        <v>45731</v>
      </c>
      <c r="D568">
        <v>25</v>
      </c>
      <c r="E568" t="s">
        <v>12</v>
      </c>
      <c r="F568" t="s">
        <v>32</v>
      </c>
      <c r="G568" t="s">
        <v>30</v>
      </c>
      <c r="H568">
        <v>5243</v>
      </c>
      <c r="I568">
        <v>7</v>
      </c>
      <c r="J568">
        <v>83</v>
      </c>
      <c r="K568">
        <f t="shared" si="24"/>
        <v>0</v>
      </c>
      <c r="L568" s="4">
        <f t="shared" ca="1" si="25"/>
        <v>13</v>
      </c>
      <c r="M568" t="str">
        <f t="shared" si="26"/>
        <v>Mar-2025</v>
      </c>
      <c r="N568" t="s">
        <v>23</v>
      </c>
    </row>
    <row r="569" spans="1:14" x14ac:dyDescent="0.25">
      <c r="A569" t="s">
        <v>597</v>
      </c>
      <c r="B569" s="1">
        <v>45427</v>
      </c>
      <c r="C569" s="1">
        <v>45907</v>
      </c>
      <c r="D569">
        <v>56</v>
      </c>
      <c r="E569" t="s">
        <v>21</v>
      </c>
      <c r="F569" t="s">
        <v>32</v>
      </c>
      <c r="G569" t="s">
        <v>18</v>
      </c>
      <c r="H569">
        <v>12784</v>
      </c>
      <c r="I569">
        <v>16</v>
      </c>
      <c r="J569">
        <v>92</v>
      </c>
      <c r="K569">
        <f t="shared" si="24"/>
        <v>1</v>
      </c>
      <c r="L569" s="4">
        <f t="shared" ca="1" si="25"/>
        <v>16</v>
      </c>
      <c r="M569" t="str">
        <f t="shared" si="26"/>
        <v>May-2024</v>
      </c>
      <c r="N569" t="s">
        <v>23</v>
      </c>
    </row>
    <row r="570" spans="1:14" x14ac:dyDescent="0.25">
      <c r="A570" t="s">
        <v>598</v>
      </c>
      <c r="B570" s="1">
        <v>45314</v>
      </c>
      <c r="D570">
        <v>50</v>
      </c>
      <c r="E570" t="s">
        <v>12</v>
      </c>
      <c r="F570" t="s">
        <v>27</v>
      </c>
      <c r="G570" t="s">
        <v>18</v>
      </c>
      <c r="H570">
        <v>16779</v>
      </c>
      <c r="I570">
        <v>21</v>
      </c>
      <c r="J570">
        <v>25</v>
      </c>
      <c r="K570">
        <f t="shared" si="24"/>
        <v>0</v>
      </c>
      <c r="L570" s="4">
        <f t="shared" ca="1" si="25"/>
        <v>27</v>
      </c>
      <c r="M570" t="str">
        <f t="shared" si="26"/>
        <v>Jan-2024</v>
      </c>
      <c r="N570" t="s">
        <v>23</v>
      </c>
    </row>
    <row r="571" spans="1:14" x14ac:dyDescent="0.25">
      <c r="A571" t="s">
        <v>599</v>
      </c>
      <c r="B571" s="1">
        <v>45040</v>
      </c>
      <c r="D571">
        <v>23</v>
      </c>
      <c r="E571" t="s">
        <v>12</v>
      </c>
      <c r="F571" t="s">
        <v>13</v>
      </c>
      <c r="G571" t="s">
        <v>14</v>
      </c>
      <c r="H571">
        <v>20970</v>
      </c>
      <c r="I571">
        <v>30</v>
      </c>
      <c r="J571">
        <v>77</v>
      </c>
      <c r="K571">
        <f t="shared" si="24"/>
        <v>0</v>
      </c>
      <c r="L571" s="4">
        <f t="shared" ca="1" si="25"/>
        <v>36</v>
      </c>
      <c r="M571" t="str">
        <f t="shared" si="26"/>
        <v>Apr-2023</v>
      </c>
      <c r="N571" t="s">
        <v>23</v>
      </c>
    </row>
    <row r="572" spans="1:14" x14ac:dyDescent="0.25">
      <c r="A572" t="s">
        <v>600</v>
      </c>
      <c r="B572" s="1">
        <v>45282</v>
      </c>
      <c r="D572">
        <v>46</v>
      </c>
      <c r="E572" t="s">
        <v>12</v>
      </c>
      <c r="F572" t="s">
        <v>41</v>
      </c>
      <c r="G572" t="s">
        <v>30</v>
      </c>
      <c r="H572">
        <v>16478</v>
      </c>
      <c r="I572">
        <v>22</v>
      </c>
      <c r="J572">
        <v>70</v>
      </c>
      <c r="K572">
        <f t="shared" si="24"/>
        <v>0</v>
      </c>
      <c r="L572" s="4">
        <f t="shared" ca="1" si="25"/>
        <v>28</v>
      </c>
      <c r="M572" t="str">
        <f t="shared" si="26"/>
        <v>Dec-2023</v>
      </c>
      <c r="N572" t="s">
        <v>19</v>
      </c>
    </row>
    <row r="573" spans="1:14" x14ac:dyDescent="0.25">
      <c r="A573" t="s">
        <v>601</v>
      </c>
      <c r="B573" s="1">
        <v>44957</v>
      </c>
      <c r="D573">
        <v>19</v>
      </c>
      <c r="E573" t="s">
        <v>12</v>
      </c>
      <c r="F573" t="s">
        <v>47</v>
      </c>
      <c r="G573" t="s">
        <v>18</v>
      </c>
      <c r="H573">
        <v>26367</v>
      </c>
      <c r="I573">
        <v>33</v>
      </c>
      <c r="J573">
        <v>88</v>
      </c>
      <c r="K573">
        <f t="shared" si="24"/>
        <v>0</v>
      </c>
      <c r="L573" s="4">
        <f t="shared" ca="1" si="25"/>
        <v>38</v>
      </c>
      <c r="M573" t="str">
        <f t="shared" si="26"/>
        <v>Jan-2023</v>
      </c>
      <c r="N573" t="s">
        <v>19</v>
      </c>
    </row>
    <row r="574" spans="1:14" x14ac:dyDescent="0.25">
      <c r="A574" t="s">
        <v>602</v>
      </c>
      <c r="B574" s="1">
        <v>45266</v>
      </c>
      <c r="D574">
        <v>25</v>
      </c>
      <c r="E574" t="s">
        <v>12</v>
      </c>
      <c r="F574" t="s">
        <v>41</v>
      </c>
      <c r="G574" t="s">
        <v>30</v>
      </c>
      <c r="H574">
        <v>17227</v>
      </c>
      <c r="I574">
        <v>23</v>
      </c>
      <c r="J574">
        <v>75</v>
      </c>
      <c r="K574">
        <f t="shared" si="24"/>
        <v>0</v>
      </c>
      <c r="L574" s="4">
        <f t="shared" ca="1" si="25"/>
        <v>28</v>
      </c>
      <c r="M574" t="str">
        <f t="shared" si="26"/>
        <v>Dec-2023</v>
      </c>
      <c r="N574" t="s">
        <v>23</v>
      </c>
    </row>
    <row r="575" spans="1:14" x14ac:dyDescent="0.25">
      <c r="A575" t="s">
        <v>603</v>
      </c>
      <c r="B575" s="1">
        <v>45047</v>
      </c>
      <c r="D575">
        <v>20</v>
      </c>
      <c r="E575" t="s">
        <v>12</v>
      </c>
      <c r="F575" t="s">
        <v>38</v>
      </c>
      <c r="G575" t="s">
        <v>18</v>
      </c>
      <c r="H575">
        <v>23970</v>
      </c>
      <c r="I575">
        <v>30</v>
      </c>
      <c r="J575">
        <v>47</v>
      </c>
      <c r="K575">
        <f t="shared" si="24"/>
        <v>0</v>
      </c>
      <c r="L575" s="4">
        <f t="shared" ca="1" si="25"/>
        <v>35</v>
      </c>
      <c r="M575" t="str">
        <f t="shared" si="26"/>
        <v>May-2023</v>
      </c>
      <c r="N575" t="s">
        <v>19</v>
      </c>
    </row>
    <row r="576" spans="1:14" x14ac:dyDescent="0.25">
      <c r="A576" t="s">
        <v>604</v>
      </c>
      <c r="B576" s="1">
        <v>45631</v>
      </c>
      <c r="D576">
        <v>37</v>
      </c>
      <c r="E576" t="s">
        <v>12</v>
      </c>
      <c r="F576" t="s">
        <v>27</v>
      </c>
      <c r="G576" t="s">
        <v>18</v>
      </c>
      <c r="H576">
        <v>8789</v>
      </c>
      <c r="I576">
        <v>11</v>
      </c>
      <c r="J576">
        <v>43</v>
      </c>
      <c r="K576">
        <f t="shared" si="24"/>
        <v>0</v>
      </c>
      <c r="L576" s="4">
        <f t="shared" ca="1" si="25"/>
        <v>16</v>
      </c>
      <c r="M576" t="str">
        <f t="shared" si="26"/>
        <v>Dec-2024</v>
      </c>
      <c r="N576" t="s">
        <v>19</v>
      </c>
    </row>
    <row r="577" spans="1:14" x14ac:dyDescent="0.25">
      <c r="A577" t="s">
        <v>605</v>
      </c>
      <c r="B577" s="1">
        <v>45382</v>
      </c>
      <c r="D577">
        <v>49</v>
      </c>
      <c r="E577" t="s">
        <v>15</v>
      </c>
      <c r="F577" t="s">
        <v>47</v>
      </c>
      <c r="G577" t="s">
        <v>18</v>
      </c>
      <c r="H577">
        <v>15181</v>
      </c>
      <c r="I577">
        <v>19</v>
      </c>
      <c r="J577">
        <v>52</v>
      </c>
      <c r="K577">
        <f t="shared" si="24"/>
        <v>0</v>
      </c>
      <c r="L577" s="4">
        <f t="shared" ca="1" si="25"/>
        <v>24</v>
      </c>
      <c r="M577" t="str">
        <f t="shared" si="26"/>
        <v>Mar-2024</v>
      </c>
      <c r="N577" t="s">
        <v>19</v>
      </c>
    </row>
    <row r="578" spans="1:14" x14ac:dyDescent="0.25">
      <c r="A578" t="s">
        <v>606</v>
      </c>
      <c r="B578" s="1">
        <v>45113</v>
      </c>
      <c r="C578" s="1">
        <v>45203</v>
      </c>
      <c r="D578">
        <v>22</v>
      </c>
      <c r="E578" t="s">
        <v>21</v>
      </c>
      <c r="F578" t="s">
        <v>41</v>
      </c>
      <c r="G578" t="s">
        <v>30</v>
      </c>
      <c r="H578">
        <v>2247</v>
      </c>
      <c r="I578">
        <v>3</v>
      </c>
      <c r="J578">
        <v>80</v>
      </c>
      <c r="K578">
        <f t="shared" si="24"/>
        <v>1</v>
      </c>
      <c r="L578" s="4">
        <f t="shared" ca="1" si="25"/>
        <v>3</v>
      </c>
      <c r="M578" t="str">
        <f t="shared" si="26"/>
        <v>Jul-2023</v>
      </c>
      <c r="N578" t="s">
        <v>19</v>
      </c>
    </row>
    <row r="579" spans="1:14" x14ac:dyDescent="0.25">
      <c r="A579" t="s">
        <v>607</v>
      </c>
      <c r="B579" s="1">
        <v>45863</v>
      </c>
      <c r="C579" s="1">
        <v>45953</v>
      </c>
      <c r="D579">
        <v>33</v>
      </c>
      <c r="E579" t="s">
        <v>12</v>
      </c>
      <c r="F579" t="s">
        <v>29</v>
      </c>
      <c r="G579" t="s">
        <v>18</v>
      </c>
      <c r="H579">
        <v>2397</v>
      </c>
      <c r="I579">
        <v>3</v>
      </c>
      <c r="J579">
        <v>47</v>
      </c>
      <c r="K579">
        <f t="shared" ref="K579:K642" si="27">IF(ISBLANK(C579), 0, 1)</f>
        <v>1</v>
      </c>
      <c r="L579" s="4">
        <f t="shared" ref="L579:L642" ca="1" si="28">ROUNDUP(DATEDIF(B579, IF(ISBLANK(C579), TODAY(), C579), "d")/30, 0)</f>
        <v>3</v>
      </c>
      <c r="M579" t="str">
        <f t="shared" ref="M579:M642" si="29">TEXT(B579, "mmm-yyyy")</f>
        <v>Jul-2025</v>
      </c>
      <c r="N579" t="s">
        <v>19</v>
      </c>
    </row>
    <row r="580" spans="1:14" x14ac:dyDescent="0.25">
      <c r="A580" t="s">
        <v>608</v>
      </c>
      <c r="B580" s="1">
        <v>45822</v>
      </c>
      <c r="D580">
        <v>42</v>
      </c>
      <c r="E580" t="s">
        <v>12</v>
      </c>
      <c r="F580" t="s">
        <v>17</v>
      </c>
      <c r="G580" t="s">
        <v>18</v>
      </c>
      <c r="H580">
        <v>3196</v>
      </c>
      <c r="I580">
        <v>4</v>
      </c>
      <c r="J580">
        <v>24</v>
      </c>
      <c r="K580">
        <f t="shared" si="27"/>
        <v>0</v>
      </c>
      <c r="L580" s="4">
        <f t="shared" ca="1" si="28"/>
        <v>10</v>
      </c>
      <c r="M580" t="str">
        <f t="shared" si="29"/>
        <v>Jun-2025</v>
      </c>
      <c r="N580" t="s">
        <v>19</v>
      </c>
    </row>
    <row r="581" spans="1:14" x14ac:dyDescent="0.25">
      <c r="A581" t="s">
        <v>609</v>
      </c>
      <c r="B581" s="1">
        <v>45019</v>
      </c>
      <c r="D581">
        <v>29</v>
      </c>
      <c r="E581" t="s">
        <v>21</v>
      </c>
      <c r="F581" t="s">
        <v>57</v>
      </c>
      <c r="G581" t="s">
        <v>18</v>
      </c>
      <c r="H581">
        <v>24769</v>
      </c>
      <c r="I581">
        <v>31</v>
      </c>
      <c r="J581">
        <v>53</v>
      </c>
      <c r="K581">
        <f t="shared" si="27"/>
        <v>0</v>
      </c>
      <c r="L581" s="4">
        <f t="shared" ca="1" si="28"/>
        <v>36</v>
      </c>
      <c r="M581" t="str">
        <f t="shared" si="29"/>
        <v>Apr-2023</v>
      </c>
      <c r="N581" t="s">
        <v>19</v>
      </c>
    </row>
    <row r="582" spans="1:14" x14ac:dyDescent="0.25">
      <c r="A582" t="s">
        <v>610</v>
      </c>
      <c r="B582" s="1">
        <v>45728</v>
      </c>
      <c r="D582">
        <v>21</v>
      </c>
      <c r="E582" t="s">
        <v>15</v>
      </c>
      <c r="F582" t="s">
        <v>27</v>
      </c>
      <c r="G582" t="s">
        <v>18</v>
      </c>
      <c r="H582">
        <v>5593</v>
      </c>
      <c r="I582">
        <v>7</v>
      </c>
      <c r="J582">
        <v>96</v>
      </c>
      <c r="K582">
        <f t="shared" si="27"/>
        <v>0</v>
      </c>
      <c r="L582" s="4">
        <f t="shared" ca="1" si="28"/>
        <v>13</v>
      </c>
      <c r="M582" t="str">
        <f t="shared" si="29"/>
        <v>Mar-2025</v>
      </c>
      <c r="N582" t="s">
        <v>25</v>
      </c>
    </row>
    <row r="583" spans="1:14" x14ac:dyDescent="0.25">
      <c r="A583" t="s">
        <v>611</v>
      </c>
      <c r="B583" s="1">
        <v>45934</v>
      </c>
      <c r="D583">
        <v>40</v>
      </c>
      <c r="E583" t="s">
        <v>12</v>
      </c>
      <c r="F583" t="s">
        <v>57</v>
      </c>
      <c r="G583" t="s">
        <v>14</v>
      </c>
      <c r="H583">
        <v>699</v>
      </c>
      <c r="I583">
        <v>1</v>
      </c>
      <c r="J583">
        <v>72</v>
      </c>
      <c r="K583">
        <f t="shared" si="27"/>
        <v>0</v>
      </c>
      <c r="L583" s="4">
        <f t="shared" ca="1" si="28"/>
        <v>6</v>
      </c>
      <c r="M583" t="str">
        <f t="shared" si="29"/>
        <v>Oct-2025</v>
      </c>
      <c r="N583" t="s">
        <v>19</v>
      </c>
    </row>
    <row r="584" spans="1:14" x14ac:dyDescent="0.25">
      <c r="A584" t="s">
        <v>612</v>
      </c>
      <c r="B584" s="1">
        <v>45560</v>
      </c>
      <c r="D584">
        <v>31</v>
      </c>
      <c r="E584" t="s">
        <v>12</v>
      </c>
      <c r="F584" t="s">
        <v>57</v>
      </c>
      <c r="G584" t="s">
        <v>14</v>
      </c>
      <c r="H584">
        <v>9087</v>
      </c>
      <c r="I584">
        <v>13</v>
      </c>
      <c r="J584">
        <v>92</v>
      </c>
      <c r="K584">
        <f t="shared" si="27"/>
        <v>0</v>
      </c>
      <c r="L584" s="4">
        <f t="shared" ca="1" si="28"/>
        <v>18</v>
      </c>
      <c r="M584" t="str">
        <f t="shared" si="29"/>
        <v>Sep-2024</v>
      </c>
      <c r="N584" t="s">
        <v>19</v>
      </c>
    </row>
    <row r="585" spans="1:14" x14ac:dyDescent="0.25">
      <c r="A585" t="s">
        <v>613</v>
      </c>
      <c r="B585" s="1">
        <v>45502</v>
      </c>
      <c r="D585">
        <v>59</v>
      </c>
      <c r="E585" t="s">
        <v>15</v>
      </c>
      <c r="F585" t="s">
        <v>22</v>
      </c>
      <c r="G585" t="s">
        <v>18</v>
      </c>
      <c r="H585">
        <v>11985</v>
      </c>
      <c r="I585">
        <v>15</v>
      </c>
      <c r="J585">
        <v>57</v>
      </c>
      <c r="K585">
        <f t="shared" si="27"/>
        <v>0</v>
      </c>
      <c r="L585" s="4">
        <f t="shared" ca="1" si="28"/>
        <v>20</v>
      </c>
      <c r="M585" t="str">
        <f t="shared" si="29"/>
        <v>Jul-2024</v>
      </c>
      <c r="N585" t="s">
        <v>23</v>
      </c>
    </row>
    <row r="586" spans="1:14" x14ac:dyDescent="0.25">
      <c r="A586" t="s">
        <v>614</v>
      </c>
      <c r="B586" s="1">
        <v>45905</v>
      </c>
      <c r="D586">
        <v>57</v>
      </c>
      <c r="E586" t="s">
        <v>21</v>
      </c>
      <c r="F586" t="s">
        <v>57</v>
      </c>
      <c r="G586" t="s">
        <v>14</v>
      </c>
      <c r="H586">
        <v>699</v>
      </c>
      <c r="I586">
        <v>1</v>
      </c>
      <c r="J586">
        <v>23</v>
      </c>
      <c r="K586">
        <f t="shared" si="27"/>
        <v>0</v>
      </c>
      <c r="L586" s="4">
        <f t="shared" ca="1" si="28"/>
        <v>7</v>
      </c>
      <c r="M586" t="str">
        <f t="shared" si="29"/>
        <v>Sep-2025</v>
      </c>
      <c r="N586" t="s">
        <v>19</v>
      </c>
    </row>
    <row r="587" spans="1:14" x14ac:dyDescent="0.25">
      <c r="A587" t="s">
        <v>615</v>
      </c>
      <c r="B587" s="1">
        <v>45160</v>
      </c>
      <c r="D587">
        <v>56</v>
      </c>
      <c r="E587" t="s">
        <v>21</v>
      </c>
      <c r="F587" t="s">
        <v>27</v>
      </c>
      <c r="G587" t="s">
        <v>18</v>
      </c>
      <c r="H587">
        <v>20774</v>
      </c>
      <c r="I587">
        <v>26</v>
      </c>
      <c r="J587">
        <v>45</v>
      </c>
      <c r="K587">
        <f t="shared" si="27"/>
        <v>0</v>
      </c>
      <c r="L587" s="4">
        <f t="shared" ca="1" si="28"/>
        <v>32</v>
      </c>
      <c r="M587" t="str">
        <f t="shared" si="29"/>
        <v>Aug-2023</v>
      </c>
      <c r="N587" t="s">
        <v>23</v>
      </c>
    </row>
    <row r="588" spans="1:14" x14ac:dyDescent="0.25">
      <c r="A588" t="s">
        <v>616</v>
      </c>
      <c r="B588" s="1">
        <v>45421</v>
      </c>
      <c r="D588">
        <v>29</v>
      </c>
      <c r="E588" t="s">
        <v>12</v>
      </c>
      <c r="F588" t="s">
        <v>29</v>
      </c>
      <c r="G588" t="s">
        <v>18</v>
      </c>
      <c r="H588">
        <v>14382</v>
      </c>
      <c r="I588">
        <v>18</v>
      </c>
      <c r="J588">
        <v>73</v>
      </c>
      <c r="K588">
        <f t="shared" si="27"/>
        <v>0</v>
      </c>
      <c r="L588" s="4">
        <f t="shared" ca="1" si="28"/>
        <v>23</v>
      </c>
      <c r="M588" t="str">
        <f t="shared" si="29"/>
        <v>May-2024</v>
      </c>
      <c r="N588" t="s">
        <v>19</v>
      </c>
    </row>
    <row r="589" spans="1:14" x14ac:dyDescent="0.25">
      <c r="A589" t="s">
        <v>617</v>
      </c>
      <c r="B589" s="1">
        <v>44942</v>
      </c>
      <c r="D589">
        <v>46</v>
      </c>
      <c r="E589" t="s">
        <v>21</v>
      </c>
      <c r="F589" t="s">
        <v>13</v>
      </c>
      <c r="G589" t="s">
        <v>30</v>
      </c>
      <c r="H589">
        <v>25466</v>
      </c>
      <c r="I589">
        <v>34</v>
      </c>
      <c r="J589">
        <v>100</v>
      </c>
      <c r="K589">
        <f t="shared" si="27"/>
        <v>0</v>
      </c>
      <c r="L589" s="4">
        <f t="shared" ca="1" si="28"/>
        <v>39</v>
      </c>
      <c r="M589" t="str">
        <f t="shared" si="29"/>
        <v>Jan-2023</v>
      </c>
      <c r="N589" t="s">
        <v>19</v>
      </c>
    </row>
    <row r="590" spans="1:14" x14ac:dyDescent="0.25">
      <c r="A590" t="s">
        <v>618</v>
      </c>
      <c r="B590" s="1">
        <v>45730</v>
      </c>
      <c r="D590">
        <v>40</v>
      </c>
      <c r="E590" t="s">
        <v>21</v>
      </c>
      <c r="F590" t="s">
        <v>29</v>
      </c>
      <c r="G590" t="s">
        <v>18</v>
      </c>
      <c r="H590">
        <v>5593</v>
      </c>
      <c r="I590">
        <v>7</v>
      </c>
      <c r="J590">
        <v>72</v>
      </c>
      <c r="K590">
        <f t="shared" si="27"/>
        <v>0</v>
      </c>
      <c r="L590" s="4">
        <f t="shared" ca="1" si="28"/>
        <v>13</v>
      </c>
      <c r="M590" t="str">
        <f t="shared" si="29"/>
        <v>Mar-2025</v>
      </c>
      <c r="N590" t="s">
        <v>23</v>
      </c>
    </row>
    <row r="591" spans="1:14" x14ac:dyDescent="0.25">
      <c r="A591" t="s">
        <v>619</v>
      </c>
      <c r="B591" s="1">
        <v>45535</v>
      </c>
      <c r="C591" s="1">
        <v>45625</v>
      </c>
      <c r="D591">
        <v>39</v>
      </c>
      <c r="E591" t="s">
        <v>21</v>
      </c>
      <c r="F591" t="s">
        <v>27</v>
      </c>
      <c r="G591" t="s">
        <v>30</v>
      </c>
      <c r="H591">
        <v>2247</v>
      </c>
      <c r="I591">
        <v>3</v>
      </c>
      <c r="J591">
        <v>75</v>
      </c>
      <c r="K591">
        <f t="shared" si="27"/>
        <v>1</v>
      </c>
      <c r="L591" s="4">
        <f t="shared" ca="1" si="28"/>
        <v>3</v>
      </c>
      <c r="M591" t="str">
        <f t="shared" si="29"/>
        <v>Aug-2024</v>
      </c>
      <c r="N591" t="s">
        <v>23</v>
      </c>
    </row>
    <row r="592" spans="1:14" x14ac:dyDescent="0.25">
      <c r="A592" t="s">
        <v>620</v>
      </c>
      <c r="B592" s="1">
        <v>45117</v>
      </c>
      <c r="C592" s="1">
        <v>45267</v>
      </c>
      <c r="D592">
        <v>60</v>
      </c>
      <c r="E592" t="s">
        <v>21</v>
      </c>
      <c r="F592" t="s">
        <v>32</v>
      </c>
      <c r="G592" t="s">
        <v>14</v>
      </c>
      <c r="H592">
        <v>3495</v>
      </c>
      <c r="I592">
        <v>5</v>
      </c>
      <c r="J592">
        <v>37</v>
      </c>
      <c r="K592">
        <f t="shared" si="27"/>
        <v>1</v>
      </c>
      <c r="L592" s="4">
        <f t="shared" ca="1" si="28"/>
        <v>5</v>
      </c>
      <c r="M592" t="str">
        <f t="shared" si="29"/>
        <v>Jul-2023</v>
      </c>
      <c r="N592" t="s">
        <v>23</v>
      </c>
    </row>
    <row r="593" spans="1:14" x14ac:dyDescent="0.25">
      <c r="A593" t="s">
        <v>621</v>
      </c>
      <c r="B593" s="1">
        <v>45131</v>
      </c>
      <c r="D593">
        <v>59</v>
      </c>
      <c r="E593" t="s">
        <v>21</v>
      </c>
      <c r="F593" t="s">
        <v>22</v>
      </c>
      <c r="G593" t="s">
        <v>18</v>
      </c>
      <c r="H593">
        <v>21573</v>
      </c>
      <c r="I593">
        <v>27</v>
      </c>
      <c r="J593">
        <v>71</v>
      </c>
      <c r="K593">
        <f t="shared" si="27"/>
        <v>0</v>
      </c>
      <c r="L593" s="4">
        <f t="shared" ca="1" si="28"/>
        <v>33</v>
      </c>
      <c r="M593" t="str">
        <f t="shared" si="29"/>
        <v>Jul-2023</v>
      </c>
      <c r="N593" t="s">
        <v>23</v>
      </c>
    </row>
    <row r="594" spans="1:14" x14ac:dyDescent="0.25">
      <c r="A594" t="s">
        <v>622</v>
      </c>
      <c r="B594" s="1">
        <v>45945</v>
      </c>
      <c r="C594" s="1">
        <v>45962</v>
      </c>
      <c r="D594">
        <v>19</v>
      </c>
      <c r="E594" t="s">
        <v>21</v>
      </c>
      <c r="F594" t="s">
        <v>13</v>
      </c>
      <c r="G594" t="s">
        <v>30</v>
      </c>
      <c r="H594">
        <v>749</v>
      </c>
      <c r="I594">
        <v>1</v>
      </c>
      <c r="J594">
        <v>91</v>
      </c>
      <c r="K594">
        <f t="shared" si="27"/>
        <v>1</v>
      </c>
      <c r="L594" s="4">
        <f t="shared" ca="1" si="28"/>
        <v>1</v>
      </c>
      <c r="M594" t="str">
        <f t="shared" si="29"/>
        <v>Oct-2025</v>
      </c>
      <c r="N594" t="s">
        <v>15</v>
      </c>
    </row>
    <row r="595" spans="1:14" x14ac:dyDescent="0.25">
      <c r="A595" t="s">
        <v>623</v>
      </c>
      <c r="B595" s="1">
        <v>45367</v>
      </c>
      <c r="D595">
        <v>26</v>
      </c>
      <c r="E595" t="s">
        <v>21</v>
      </c>
      <c r="F595" t="s">
        <v>57</v>
      </c>
      <c r="G595" t="s">
        <v>14</v>
      </c>
      <c r="H595">
        <v>13281</v>
      </c>
      <c r="I595">
        <v>19</v>
      </c>
      <c r="J595">
        <v>56</v>
      </c>
      <c r="K595">
        <f t="shared" si="27"/>
        <v>0</v>
      </c>
      <c r="L595" s="4">
        <f t="shared" ca="1" si="28"/>
        <v>25</v>
      </c>
      <c r="M595" t="str">
        <f t="shared" si="29"/>
        <v>Mar-2024</v>
      </c>
      <c r="N595" t="s">
        <v>23</v>
      </c>
    </row>
    <row r="596" spans="1:14" x14ac:dyDescent="0.25">
      <c r="A596" t="s">
        <v>624</v>
      </c>
      <c r="B596" s="1">
        <v>45910</v>
      </c>
      <c r="D596">
        <v>28</v>
      </c>
      <c r="E596" t="s">
        <v>21</v>
      </c>
      <c r="F596" t="s">
        <v>41</v>
      </c>
      <c r="G596" t="s">
        <v>14</v>
      </c>
      <c r="H596">
        <v>699</v>
      </c>
      <c r="I596">
        <v>1</v>
      </c>
      <c r="J596">
        <v>69</v>
      </c>
      <c r="K596">
        <f t="shared" si="27"/>
        <v>0</v>
      </c>
      <c r="L596" s="4">
        <f t="shared" ca="1" si="28"/>
        <v>7</v>
      </c>
      <c r="M596" t="str">
        <f t="shared" si="29"/>
        <v>Sep-2025</v>
      </c>
      <c r="N596" t="s">
        <v>15</v>
      </c>
    </row>
    <row r="597" spans="1:14" x14ac:dyDescent="0.25">
      <c r="A597" t="s">
        <v>625</v>
      </c>
      <c r="B597" s="1">
        <v>45202</v>
      </c>
      <c r="D597">
        <v>36</v>
      </c>
      <c r="E597" t="s">
        <v>12</v>
      </c>
      <c r="F597" t="s">
        <v>29</v>
      </c>
      <c r="G597" t="s">
        <v>18</v>
      </c>
      <c r="H597">
        <v>19975</v>
      </c>
      <c r="I597">
        <v>25</v>
      </c>
      <c r="J597">
        <v>79</v>
      </c>
      <c r="K597">
        <f t="shared" si="27"/>
        <v>0</v>
      </c>
      <c r="L597" s="4">
        <f t="shared" ca="1" si="28"/>
        <v>30</v>
      </c>
      <c r="M597" t="str">
        <f t="shared" si="29"/>
        <v>Oct-2023</v>
      </c>
      <c r="N597" t="s">
        <v>15</v>
      </c>
    </row>
    <row r="598" spans="1:14" x14ac:dyDescent="0.25">
      <c r="A598" t="s">
        <v>626</v>
      </c>
      <c r="B598" s="1">
        <v>44975</v>
      </c>
      <c r="D598">
        <v>34</v>
      </c>
      <c r="E598" t="s">
        <v>21</v>
      </c>
      <c r="F598" t="s">
        <v>57</v>
      </c>
      <c r="G598" t="s">
        <v>18</v>
      </c>
      <c r="H598">
        <v>25568</v>
      </c>
      <c r="I598">
        <v>32</v>
      </c>
      <c r="J598">
        <v>40</v>
      </c>
      <c r="K598">
        <f t="shared" si="27"/>
        <v>0</v>
      </c>
      <c r="L598" s="4">
        <f t="shared" ca="1" si="28"/>
        <v>38</v>
      </c>
      <c r="M598" t="str">
        <f t="shared" si="29"/>
        <v>Feb-2023</v>
      </c>
      <c r="N598" t="s">
        <v>25</v>
      </c>
    </row>
    <row r="599" spans="1:14" x14ac:dyDescent="0.25">
      <c r="A599" t="s">
        <v>627</v>
      </c>
      <c r="B599" s="1">
        <v>44887</v>
      </c>
      <c r="D599">
        <v>41</v>
      </c>
      <c r="E599" t="s">
        <v>21</v>
      </c>
      <c r="F599" t="s">
        <v>47</v>
      </c>
      <c r="G599" t="s">
        <v>18</v>
      </c>
      <c r="H599">
        <v>27965</v>
      </c>
      <c r="I599">
        <v>35</v>
      </c>
      <c r="J599">
        <v>38</v>
      </c>
      <c r="K599">
        <f t="shared" si="27"/>
        <v>0</v>
      </c>
      <c r="L599" s="4">
        <f t="shared" ca="1" si="28"/>
        <v>41</v>
      </c>
      <c r="M599" t="str">
        <f t="shared" si="29"/>
        <v>Nov-2022</v>
      </c>
      <c r="N599" t="s">
        <v>23</v>
      </c>
    </row>
    <row r="600" spans="1:14" x14ac:dyDescent="0.25">
      <c r="A600" t="s">
        <v>628</v>
      </c>
      <c r="B600" s="1">
        <v>45699</v>
      </c>
      <c r="D600">
        <v>19</v>
      </c>
      <c r="E600" t="s">
        <v>12</v>
      </c>
      <c r="F600" t="s">
        <v>57</v>
      </c>
      <c r="G600" t="s">
        <v>30</v>
      </c>
      <c r="H600">
        <v>5992</v>
      </c>
      <c r="I600">
        <v>8</v>
      </c>
      <c r="J600">
        <v>60</v>
      </c>
      <c r="K600">
        <f t="shared" si="27"/>
        <v>0</v>
      </c>
      <c r="L600" s="4">
        <f t="shared" ca="1" si="28"/>
        <v>14</v>
      </c>
      <c r="M600" t="str">
        <f t="shared" si="29"/>
        <v>Feb-2025</v>
      </c>
      <c r="N600" t="s">
        <v>23</v>
      </c>
    </row>
    <row r="601" spans="1:14" x14ac:dyDescent="0.25">
      <c r="A601" t="s">
        <v>629</v>
      </c>
      <c r="B601" s="1">
        <v>45733</v>
      </c>
      <c r="D601">
        <v>27</v>
      </c>
      <c r="E601" t="s">
        <v>21</v>
      </c>
      <c r="F601" t="s">
        <v>32</v>
      </c>
      <c r="G601" t="s">
        <v>18</v>
      </c>
      <c r="H601">
        <v>5593</v>
      </c>
      <c r="I601">
        <v>7</v>
      </c>
      <c r="J601">
        <v>95</v>
      </c>
      <c r="K601">
        <f t="shared" si="27"/>
        <v>0</v>
      </c>
      <c r="L601" s="4">
        <f t="shared" ca="1" si="28"/>
        <v>13</v>
      </c>
      <c r="M601" t="str">
        <f t="shared" si="29"/>
        <v>Mar-2025</v>
      </c>
      <c r="N601" t="s">
        <v>15</v>
      </c>
    </row>
    <row r="602" spans="1:14" x14ac:dyDescent="0.25">
      <c r="A602" t="s">
        <v>630</v>
      </c>
      <c r="B602" s="1">
        <v>45626</v>
      </c>
      <c r="D602">
        <v>27</v>
      </c>
      <c r="E602" t="s">
        <v>21</v>
      </c>
      <c r="F602" t="s">
        <v>17</v>
      </c>
      <c r="G602" t="s">
        <v>30</v>
      </c>
      <c r="H602">
        <v>8239</v>
      </c>
      <c r="I602">
        <v>11</v>
      </c>
      <c r="J602">
        <v>85</v>
      </c>
      <c r="K602">
        <f t="shared" si="27"/>
        <v>0</v>
      </c>
      <c r="L602" s="4">
        <f t="shared" ca="1" si="28"/>
        <v>16</v>
      </c>
      <c r="M602" t="str">
        <f t="shared" si="29"/>
        <v>Nov-2024</v>
      </c>
      <c r="N602" t="s">
        <v>19</v>
      </c>
    </row>
    <row r="603" spans="1:14" x14ac:dyDescent="0.25">
      <c r="A603" t="s">
        <v>631</v>
      </c>
      <c r="B603" s="1">
        <v>45566</v>
      </c>
      <c r="D603">
        <v>52</v>
      </c>
      <c r="E603" t="s">
        <v>21</v>
      </c>
      <c r="F603" t="s">
        <v>57</v>
      </c>
      <c r="G603" t="s">
        <v>30</v>
      </c>
      <c r="H603">
        <v>9737</v>
      </c>
      <c r="I603">
        <v>13</v>
      </c>
      <c r="J603">
        <v>68</v>
      </c>
      <c r="K603">
        <f t="shared" si="27"/>
        <v>0</v>
      </c>
      <c r="L603" s="4">
        <f t="shared" ca="1" si="28"/>
        <v>18</v>
      </c>
      <c r="M603" t="str">
        <f t="shared" si="29"/>
        <v>Oct-2024</v>
      </c>
      <c r="N603" t="s">
        <v>19</v>
      </c>
    </row>
    <row r="604" spans="1:14" x14ac:dyDescent="0.25">
      <c r="A604" t="s">
        <v>632</v>
      </c>
      <c r="B604" s="1">
        <v>45281</v>
      </c>
      <c r="D604">
        <v>31</v>
      </c>
      <c r="E604" t="s">
        <v>12</v>
      </c>
      <c r="F604" t="s">
        <v>47</v>
      </c>
      <c r="G604" t="s">
        <v>18</v>
      </c>
      <c r="H604">
        <v>17578</v>
      </c>
      <c r="I604">
        <v>22</v>
      </c>
      <c r="J604">
        <v>73</v>
      </c>
      <c r="K604">
        <f t="shared" si="27"/>
        <v>0</v>
      </c>
      <c r="L604" s="4">
        <f t="shared" ca="1" si="28"/>
        <v>28</v>
      </c>
      <c r="M604" t="str">
        <f t="shared" si="29"/>
        <v>Dec-2023</v>
      </c>
      <c r="N604" t="s">
        <v>23</v>
      </c>
    </row>
    <row r="605" spans="1:14" x14ac:dyDescent="0.25">
      <c r="A605" t="s">
        <v>633</v>
      </c>
      <c r="B605" s="1">
        <v>45003</v>
      </c>
      <c r="D605">
        <v>49</v>
      </c>
      <c r="E605" t="s">
        <v>12</v>
      </c>
      <c r="F605" t="s">
        <v>22</v>
      </c>
      <c r="G605" t="s">
        <v>18</v>
      </c>
      <c r="H605">
        <v>24769</v>
      </c>
      <c r="I605">
        <v>31</v>
      </c>
      <c r="J605">
        <v>67</v>
      </c>
      <c r="K605">
        <f t="shared" si="27"/>
        <v>0</v>
      </c>
      <c r="L605" s="4">
        <f t="shared" ca="1" si="28"/>
        <v>37</v>
      </c>
      <c r="M605" t="str">
        <f t="shared" si="29"/>
        <v>Mar-2023</v>
      </c>
      <c r="N605" t="s">
        <v>23</v>
      </c>
    </row>
    <row r="606" spans="1:14" x14ac:dyDescent="0.25">
      <c r="A606" t="s">
        <v>634</v>
      </c>
      <c r="B606" s="1">
        <v>45787</v>
      </c>
      <c r="D606">
        <v>50</v>
      </c>
      <c r="E606" t="s">
        <v>21</v>
      </c>
      <c r="F606" t="s">
        <v>41</v>
      </c>
      <c r="G606" t="s">
        <v>30</v>
      </c>
      <c r="H606">
        <v>3745</v>
      </c>
      <c r="I606">
        <v>5</v>
      </c>
      <c r="J606">
        <v>41</v>
      </c>
      <c r="K606">
        <f t="shared" si="27"/>
        <v>0</v>
      </c>
      <c r="L606" s="4">
        <f t="shared" ca="1" si="28"/>
        <v>11</v>
      </c>
      <c r="M606" t="str">
        <f t="shared" si="29"/>
        <v>May-2025</v>
      </c>
      <c r="N606" t="s">
        <v>19</v>
      </c>
    </row>
    <row r="607" spans="1:14" x14ac:dyDescent="0.25">
      <c r="A607" t="s">
        <v>635</v>
      </c>
      <c r="B607" s="1">
        <v>45257</v>
      </c>
      <c r="D607">
        <v>25</v>
      </c>
      <c r="E607" t="s">
        <v>21</v>
      </c>
      <c r="F607" t="s">
        <v>41</v>
      </c>
      <c r="G607" t="s">
        <v>30</v>
      </c>
      <c r="H607">
        <v>17227</v>
      </c>
      <c r="I607">
        <v>23</v>
      </c>
      <c r="J607">
        <v>37</v>
      </c>
      <c r="K607">
        <f t="shared" si="27"/>
        <v>0</v>
      </c>
      <c r="L607" s="4">
        <f t="shared" ca="1" si="28"/>
        <v>28</v>
      </c>
      <c r="M607" t="str">
        <f t="shared" si="29"/>
        <v>Nov-2023</v>
      </c>
      <c r="N607" t="s">
        <v>19</v>
      </c>
    </row>
    <row r="608" spans="1:14" x14ac:dyDescent="0.25">
      <c r="A608" t="s">
        <v>636</v>
      </c>
      <c r="B608" s="1">
        <v>45331</v>
      </c>
      <c r="D608">
        <v>42</v>
      </c>
      <c r="E608" t="s">
        <v>12</v>
      </c>
      <c r="F608" t="s">
        <v>41</v>
      </c>
      <c r="G608" t="s">
        <v>30</v>
      </c>
      <c r="H608">
        <v>15729</v>
      </c>
      <c r="I608">
        <v>21</v>
      </c>
      <c r="J608">
        <v>96</v>
      </c>
      <c r="K608">
        <f t="shared" si="27"/>
        <v>0</v>
      </c>
      <c r="L608" s="4">
        <f t="shared" ca="1" si="28"/>
        <v>26</v>
      </c>
      <c r="M608" t="str">
        <f t="shared" si="29"/>
        <v>Feb-2024</v>
      </c>
      <c r="N608" t="s">
        <v>19</v>
      </c>
    </row>
    <row r="609" spans="1:14" x14ac:dyDescent="0.25">
      <c r="A609" t="s">
        <v>637</v>
      </c>
      <c r="B609" s="1">
        <v>44988</v>
      </c>
      <c r="D609">
        <v>53</v>
      </c>
      <c r="E609" t="s">
        <v>21</v>
      </c>
      <c r="F609" t="s">
        <v>22</v>
      </c>
      <c r="G609" t="s">
        <v>30</v>
      </c>
      <c r="H609">
        <v>23968</v>
      </c>
      <c r="I609">
        <v>32</v>
      </c>
      <c r="J609">
        <v>53</v>
      </c>
      <c r="K609">
        <f t="shared" si="27"/>
        <v>0</v>
      </c>
      <c r="L609" s="4">
        <f t="shared" ca="1" si="28"/>
        <v>37</v>
      </c>
      <c r="M609" t="str">
        <f t="shared" si="29"/>
        <v>Mar-2023</v>
      </c>
      <c r="N609" t="s">
        <v>19</v>
      </c>
    </row>
    <row r="610" spans="1:14" x14ac:dyDescent="0.25">
      <c r="A610" t="s">
        <v>638</v>
      </c>
      <c r="B610" s="1">
        <v>45312</v>
      </c>
      <c r="D610">
        <v>53</v>
      </c>
      <c r="E610" t="s">
        <v>12</v>
      </c>
      <c r="F610" t="s">
        <v>38</v>
      </c>
      <c r="G610" t="s">
        <v>18</v>
      </c>
      <c r="H610">
        <v>16779</v>
      </c>
      <c r="I610">
        <v>21</v>
      </c>
      <c r="J610">
        <v>52</v>
      </c>
      <c r="K610">
        <f t="shared" si="27"/>
        <v>0</v>
      </c>
      <c r="L610" s="4">
        <f t="shared" ca="1" si="28"/>
        <v>27</v>
      </c>
      <c r="M610" t="str">
        <f t="shared" si="29"/>
        <v>Jan-2024</v>
      </c>
      <c r="N610" t="s">
        <v>19</v>
      </c>
    </row>
    <row r="611" spans="1:14" x14ac:dyDescent="0.25">
      <c r="A611" t="s">
        <v>639</v>
      </c>
      <c r="B611" s="1">
        <v>45947</v>
      </c>
      <c r="D611">
        <v>43</v>
      </c>
      <c r="E611" t="s">
        <v>12</v>
      </c>
      <c r="F611" t="s">
        <v>29</v>
      </c>
      <c r="G611" t="s">
        <v>30</v>
      </c>
      <c r="H611">
        <v>749</v>
      </c>
      <c r="I611">
        <v>1</v>
      </c>
      <c r="J611">
        <v>69</v>
      </c>
      <c r="K611">
        <f t="shared" si="27"/>
        <v>0</v>
      </c>
      <c r="L611" s="4">
        <f t="shared" ca="1" si="28"/>
        <v>5</v>
      </c>
      <c r="M611" t="str">
        <f t="shared" si="29"/>
        <v>Oct-2025</v>
      </c>
      <c r="N611" t="s">
        <v>19</v>
      </c>
    </row>
    <row r="612" spans="1:14" x14ac:dyDescent="0.25">
      <c r="A612" t="s">
        <v>640</v>
      </c>
      <c r="B612" s="1">
        <v>45594</v>
      </c>
      <c r="D612">
        <v>26</v>
      </c>
      <c r="E612" t="s">
        <v>21</v>
      </c>
      <c r="F612" t="s">
        <v>38</v>
      </c>
      <c r="G612" t="s">
        <v>18</v>
      </c>
      <c r="H612">
        <v>9588</v>
      </c>
      <c r="I612">
        <v>12</v>
      </c>
      <c r="J612">
        <v>54</v>
      </c>
      <c r="K612">
        <f t="shared" si="27"/>
        <v>0</v>
      </c>
      <c r="L612" s="4">
        <f t="shared" ca="1" si="28"/>
        <v>17</v>
      </c>
      <c r="M612" t="str">
        <f t="shared" si="29"/>
        <v>Oct-2024</v>
      </c>
      <c r="N612" t="s">
        <v>19</v>
      </c>
    </row>
    <row r="613" spans="1:14" x14ac:dyDescent="0.25">
      <c r="A613" t="s">
        <v>641</v>
      </c>
      <c r="B613" s="1">
        <v>45348</v>
      </c>
      <c r="C613" s="1">
        <v>45798</v>
      </c>
      <c r="D613">
        <v>26</v>
      </c>
      <c r="E613" t="s">
        <v>21</v>
      </c>
      <c r="F613" t="s">
        <v>41</v>
      </c>
      <c r="G613" t="s">
        <v>18</v>
      </c>
      <c r="H613">
        <v>11985</v>
      </c>
      <c r="I613">
        <v>15</v>
      </c>
      <c r="J613">
        <v>69</v>
      </c>
      <c r="K613">
        <f t="shared" si="27"/>
        <v>1</v>
      </c>
      <c r="L613" s="4">
        <f t="shared" ca="1" si="28"/>
        <v>15</v>
      </c>
      <c r="M613" t="str">
        <f t="shared" si="29"/>
        <v>Feb-2024</v>
      </c>
      <c r="N613" t="s">
        <v>19</v>
      </c>
    </row>
    <row r="614" spans="1:14" x14ac:dyDescent="0.25">
      <c r="A614" t="s">
        <v>642</v>
      </c>
      <c r="B614" s="1">
        <v>45643</v>
      </c>
      <c r="D614">
        <v>19</v>
      </c>
      <c r="E614" t="s">
        <v>21</v>
      </c>
      <c r="F614" t="s">
        <v>13</v>
      </c>
      <c r="G614" t="s">
        <v>30</v>
      </c>
      <c r="H614">
        <v>7490</v>
      </c>
      <c r="I614">
        <v>10</v>
      </c>
      <c r="J614">
        <v>91</v>
      </c>
      <c r="K614">
        <f t="shared" si="27"/>
        <v>0</v>
      </c>
      <c r="L614" s="4">
        <f t="shared" ca="1" si="28"/>
        <v>16</v>
      </c>
      <c r="M614" t="str">
        <f t="shared" si="29"/>
        <v>Dec-2024</v>
      </c>
      <c r="N614" t="s">
        <v>25</v>
      </c>
    </row>
    <row r="615" spans="1:14" x14ac:dyDescent="0.25">
      <c r="A615" t="s">
        <v>643</v>
      </c>
      <c r="B615" s="1">
        <v>44958</v>
      </c>
      <c r="D615">
        <v>49</v>
      </c>
      <c r="E615" t="s">
        <v>12</v>
      </c>
      <c r="F615" t="s">
        <v>57</v>
      </c>
      <c r="G615" t="s">
        <v>18</v>
      </c>
      <c r="H615">
        <v>26367</v>
      </c>
      <c r="I615">
        <v>33</v>
      </c>
      <c r="J615">
        <v>72</v>
      </c>
      <c r="K615">
        <f t="shared" si="27"/>
        <v>0</v>
      </c>
      <c r="L615" s="4">
        <f t="shared" ca="1" si="28"/>
        <v>38</v>
      </c>
      <c r="M615" t="str">
        <f t="shared" si="29"/>
        <v>Feb-2023</v>
      </c>
      <c r="N615" t="s">
        <v>23</v>
      </c>
    </row>
    <row r="616" spans="1:14" x14ac:dyDescent="0.25">
      <c r="A616" t="s">
        <v>644</v>
      </c>
      <c r="B616" s="1">
        <v>45216</v>
      </c>
      <c r="D616">
        <v>20</v>
      </c>
      <c r="E616" t="s">
        <v>21</v>
      </c>
      <c r="F616" t="s">
        <v>17</v>
      </c>
      <c r="G616" t="s">
        <v>30</v>
      </c>
      <c r="H616">
        <v>17976</v>
      </c>
      <c r="I616">
        <v>24</v>
      </c>
      <c r="J616">
        <v>44</v>
      </c>
      <c r="K616">
        <f t="shared" si="27"/>
        <v>0</v>
      </c>
      <c r="L616" s="4">
        <f t="shared" ca="1" si="28"/>
        <v>30</v>
      </c>
      <c r="M616" t="str">
        <f t="shared" si="29"/>
        <v>Oct-2023</v>
      </c>
      <c r="N616" t="s">
        <v>19</v>
      </c>
    </row>
    <row r="617" spans="1:14" x14ac:dyDescent="0.25">
      <c r="A617" t="s">
        <v>645</v>
      </c>
      <c r="B617" s="1">
        <v>45610</v>
      </c>
      <c r="D617">
        <v>59</v>
      </c>
      <c r="E617" t="s">
        <v>21</v>
      </c>
      <c r="F617" t="s">
        <v>17</v>
      </c>
      <c r="G617" t="s">
        <v>18</v>
      </c>
      <c r="H617">
        <v>8789</v>
      </c>
      <c r="I617">
        <v>11</v>
      </c>
      <c r="J617">
        <v>100</v>
      </c>
      <c r="K617">
        <f t="shared" si="27"/>
        <v>0</v>
      </c>
      <c r="L617" s="4">
        <f t="shared" ca="1" si="28"/>
        <v>17</v>
      </c>
      <c r="M617" t="str">
        <f t="shared" si="29"/>
        <v>Nov-2024</v>
      </c>
      <c r="N617" t="s">
        <v>23</v>
      </c>
    </row>
    <row r="618" spans="1:14" x14ac:dyDescent="0.25">
      <c r="A618" t="s">
        <v>646</v>
      </c>
      <c r="B618" s="1">
        <v>45135</v>
      </c>
      <c r="D618">
        <v>42</v>
      </c>
      <c r="E618" t="s">
        <v>21</v>
      </c>
      <c r="F618" t="s">
        <v>57</v>
      </c>
      <c r="G618" t="s">
        <v>18</v>
      </c>
      <c r="H618">
        <v>21573</v>
      </c>
      <c r="I618">
        <v>27</v>
      </c>
      <c r="J618">
        <v>85</v>
      </c>
      <c r="K618">
        <f t="shared" si="27"/>
        <v>0</v>
      </c>
      <c r="L618" s="4">
        <f t="shared" ca="1" si="28"/>
        <v>33</v>
      </c>
      <c r="M618" t="str">
        <f t="shared" si="29"/>
        <v>Jul-2023</v>
      </c>
      <c r="N618" t="s">
        <v>23</v>
      </c>
    </row>
    <row r="619" spans="1:14" x14ac:dyDescent="0.25">
      <c r="A619" t="s">
        <v>647</v>
      </c>
      <c r="B619" s="1">
        <v>45285</v>
      </c>
      <c r="D619">
        <v>36</v>
      </c>
      <c r="E619" t="s">
        <v>15</v>
      </c>
      <c r="F619" t="s">
        <v>29</v>
      </c>
      <c r="G619" t="s">
        <v>18</v>
      </c>
      <c r="H619">
        <v>17578</v>
      </c>
      <c r="I619">
        <v>22</v>
      </c>
      <c r="J619">
        <v>56</v>
      </c>
      <c r="K619">
        <f t="shared" si="27"/>
        <v>0</v>
      </c>
      <c r="L619" s="4">
        <f t="shared" ca="1" si="28"/>
        <v>28</v>
      </c>
      <c r="M619" t="str">
        <f t="shared" si="29"/>
        <v>Dec-2023</v>
      </c>
      <c r="N619" t="s">
        <v>25</v>
      </c>
    </row>
    <row r="620" spans="1:14" x14ac:dyDescent="0.25">
      <c r="A620" t="s">
        <v>648</v>
      </c>
      <c r="B620" s="1">
        <v>45914</v>
      </c>
      <c r="D620">
        <v>58</v>
      </c>
      <c r="E620" t="s">
        <v>21</v>
      </c>
      <c r="F620" t="s">
        <v>57</v>
      </c>
      <c r="G620" t="s">
        <v>18</v>
      </c>
      <c r="H620">
        <v>799</v>
      </c>
      <c r="I620">
        <v>1</v>
      </c>
      <c r="J620">
        <v>68</v>
      </c>
      <c r="K620">
        <f t="shared" si="27"/>
        <v>0</v>
      </c>
      <c r="L620" s="4">
        <f t="shared" ca="1" si="28"/>
        <v>7</v>
      </c>
      <c r="M620" t="str">
        <f t="shared" si="29"/>
        <v>Sep-2025</v>
      </c>
      <c r="N620" t="s">
        <v>19</v>
      </c>
    </row>
    <row r="621" spans="1:14" x14ac:dyDescent="0.25">
      <c r="A621" t="s">
        <v>649</v>
      </c>
      <c r="B621" s="1">
        <v>45507</v>
      </c>
      <c r="D621">
        <v>26</v>
      </c>
      <c r="E621" t="s">
        <v>21</v>
      </c>
      <c r="F621" t="s">
        <v>13</v>
      </c>
      <c r="G621" t="s">
        <v>18</v>
      </c>
      <c r="H621">
        <v>11985</v>
      </c>
      <c r="I621">
        <v>15</v>
      </c>
      <c r="J621">
        <v>43</v>
      </c>
      <c r="K621">
        <f t="shared" si="27"/>
        <v>0</v>
      </c>
      <c r="L621" s="4">
        <f t="shared" ca="1" si="28"/>
        <v>20</v>
      </c>
      <c r="M621" t="str">
        <f t="shared" si="29"/>
        <v>Aug-2024</v>
      </c>
      <c r="N621" t="s">
        <v>19</v>
      </c>
    </row>
    <row r="622" spans="1:14" x14ac:dyDescent="0.25">
      <c r="A622" t="s">
        <v>650</v>
      </c>
      <c r="B622" s="1">
        <v>45940</v>
      </c>
      <c r="D622">
        <v>28</v>
      </c>
      <c r="E622" t="s">
        <v>21</v>
      </c>
      <c r="F622" t="s">
        <v>47</v>
      </c>
      <c r="G622" t="s">
        <v>30</v>
      </c>
      <c r="H622">
        <v>749</v>
      </c>
      <c r="I622">
        <v>1</v>
      </c>
      <c r="J622">
        <v>44</v>
      </c>
      <c r="K622">
        <f t="shared" si="27"/>
        <v>0</v>
      </c>
      <c r="L622" s="4">
        <f t="shared" ca="1" si="28"/>
        <v>6</v>
      </c>
      <c r="M622" t="str">
        <f t="shared" si="29"/>
        <v>Oct-2025</v>
      </c>
      <c r="N622" t="s">
        <v>25</v>
      </c>
    </row>
    <row r="623" spans="1:14" x14ac:dyDescent="0.25">
      <c r="A623" t="s">
        <v>651</v>
      </c>
      <c r="B623" s="1">
        <v>45477</v>
      </c>
      <c r="C623" s="1">
        <v>45567</v>
      </c>
      <c r="D623">
        <v>41</v>
      </c>
      <c r="E623" t="s">
        <v>12</v>
      </c>
      <c r="F623" t="s">
        <v>41</v>
      </c>
      <c r="G623" t="s">
        <v>30</v>
      </c>
      <c r="H623">
        <v>2247</v>
      </c>
      <c r="I623">
        <v>3</v>
      </c>
      <c r="J623">
        <v>16</v>
      </c>
      <c r="K623">
        <f t="shared" si="27"/>
        <v>1</v>
      </c>
      <c r="L623" s="4">
        <f t="shared" ca="1" si="28"/>
        <v>3</v>
      </c>
      <c r="M623" t="str">
        <f t="shared" si="29"/>
        <v>Jul-2024</v>
      </c>
      <c r="N623" t="s">
        <v>23</v>
      </c>
    </row>
    <row r="624" spans="1:14" x14ac:dyDescent="0.25">
      <c r="A624" t="s">
        <v>652</v>
      </c>
      <c r="B624" s="1">
        <v>45409</v>
      </c>
      <c r="D624">
        <v>30</v>
      </c>
      <c r="E624" t="s">
        <v>21</v>
      </c>
      <c r="F624" t="s">
        <v>17</v>
      </c>
      <c r="G624" t="s">
        <v>30</v>
      </c>
      <c r="H624">
        <v>13482</v>
      </c>
      <c r="I624">
        <v>18</v>
      </c>
      <c r="J624">
        <v>64</v>
      </c>
      <c r="K624">
        <f t="shared" si="27"/>
        <v>0</v>
      </c>
      <c r="L624" s="4">
        <f t="shared" ca="1" si="28"/>
        <v>23</v>
      </c>
      <c r="M624" t="str">
        <f t="shared" si="29"/>
        <v>Apr-2024</v>
      </c>
      <c r="N624" t="s">
        <v>19</v>
      </c>
    </row>
    <row r="625" spans="1:14" x14ac:dyDescent="0.25">
      <c r="A625" t="s">
        <v>653</v>
      </c>
      <c r="B625" s="1">
        <v>45833</v>
      </c>
      <c r="D625">
        <v>50</v>
      </c>
      <c r="E625" t="s">
        <v>12</v>
      </c>
      <c r="F625" t="s">
        <v>22</v>
      </c>
      <c r="G625" t="s">
        <v>14</v>
      </c>
      <c r="H625">
        <v>2796</v>
      </c>
      <c r="I625">
        <v>4</v>
      </c>
      <c r="J625">
        <v>83</v>
      </c>
      <c r="K625">
        <f t="shared" si="27"/>
        <v>0</v>
      </c>
      <c r="L625" s="4">
        <f t="shared" ca="1" si="28"/>
        <v>9</v>
      </c>
      <c r="M625" t="str">
        <f t="shared" si="29"/>
        <v>Jun-2025</v>
      </c>
      <c r="N625" t="s">
        <v>19</v>
      </c>
    </row>
    <row r="626" spans="1:14" x14ac:dyDescent="0.25">
      <c r="A626" t="s">
        <v>654</v>
      </c>
      <c r="B626" s="1">
        <v>45625</v>
      </c>
      <c r="D626">
        <v>45</v>
      </c>
      <c r="E626" t="s">
        <v>12</v>
      </c>
      <c r="F626" t="s">
        <v>13</v>
      </c>
      <c r="G626" t="s">
        <v>14</v>
      </c>
      <c r="H626">
        <v>7689</v>
      </c>
      <c r="I626">
        <v>11</v>
      </c>
      <c r="J626">
        <v>60</v>
      </c>
      <c r="K626">
        <f t="shared" si="27"/>
        <v>0</v>
      </c>
      <c r="L626" s="4">
        <f t="shared" ca="1" si="28"/>
        <v>16</v>
      </c>
      <c r="M626" t="str">
        <f t="shared" si="29"/>
        <v>Nov-2024</v>
      </c>
      <c r="N626" t="s">
        <v>19</v>
      </c>
    </row>
    <row r="627" spans="1:14" x14ac:dyDescent="0.25">
      <c r="A627" t="s">
        <v>655</v>
      </c>
      <c r="B627" s="1">
        <v>45204</v>
      </c>
      <c r="D627">
        <v>38</v>
      </c>
      <c r="E627" t="s">
        <v>21</v>
      </c>
      <c r="F627" t="s">
        <v>27</v>
      </c>
      <c r="G627" t="s">
        <v>18</v>
      </c>
      <c r="H627">
        <v>19975</v>
      </c>
      <c r="I627">
        <v>25</v>
      </c>
      <c r="J627">
        <v>64</v>
      </c>
      <c r="K627">
        <f t="shared" si="27"/>
        <v>0</v>
      </c>
      <c r="L627" s="4">
        <f t="shared" ca="1" si="28"/>
        <v>30</v>
      </c>
      <c r="M627" t="str">
        <f t="shared" si="29"/>
        <v>Oct-2023</v>
      </c>
      <c r="N627" t="s">
        <v>23</v>
      </c>
    </row>
    <row r="628" spans="1:14" x14ac:dyDescent="0.25">
      <c r="A628" t="s">
        <v>656</v>
      </c>
      <c r="B628" s="1">
        <v>45738</v>
      </c>
      <c r="D628">
        <v>33</v>
      </c>
      <c r="E628" t="s">
        <v>12</v>
      </c>
      <c r="F628" t="s">
        <v>32</v>
      </c>
      <c r="G628" t="s">
        <v>18</v>
      </c>
      <c r="H628">
        <v>5593</v>
      </c>
      <c r="I628">
        <v>7</v>
      </c>
      <c r="J628">
        <v>67</v>
      </c>
      <c r="K628">
        <f t="shared" si="27"/>
        <v>0</v>
      </c>
      <c r="L628" s="4">
        <f t="shared" ca="1" si="28"/>
        <v>12</v>
      </c>
      <c r="M628" t="str">
        <f t="shared" si="29"/>
        <v>Mar-2025</v>
      </c>
      <c r="N628" t="s">
        <v>19</v>
      </c>
    </row>
    <row r="629" spans="1:14" x14ac:dyDescent="0.25">
      <c r="A629" t="s">
        <v>657</v>
      </c>
      <c r="B629" s="1">
        <v>44948</v>
      </c>
      <c r="C629" s="1">
        <v>45338</v>
      </c>
      <c r="D629">
        <v>24</v>
      </c>
      <c r="E629" t="s">
        <v>21</v>
      </c>
      <c r="F629" t="s">
        <v>27</v>
      </c>
      <c r="G629" t="s">
        <v>18</v>
      </c>
      <c r="H629">
        <v>10387</v>
      </c>
      <c r="I629">
        <v>13</v>
      </c>
      <c r="J629">
        <v>30</v>
      </c>
      <c r="K629">
        <f t="shared" si="27"/>
        <v>1</v>
      </c>
      <c r="L629" s="4">
        <f t="shared" ca="1" si="28"/>
        <v>13</v>
      </c>
      <c r="M629" t="str">
        <f t="shared" si="29"/>
        <v>Jan-2023</v>
      </c>
      <c r="N629" t="s">
        <v>19</v>
      </c>
    </row>
    <row r="630" spans="1:14" x14ac:dyDescent="0.25">
      <c r="A630" t="s">
        <v>658</v>
      </c>
      <c r="B630" s="1">
        <v>45138</v>
      </c>
      <c r="D630">
        <v>30</v>
      </c>
      <c r="E630" t="s">
        <v>21</v>
      </c>
      <c r="F630" t="s">
        <v>29</v>
      </c>
      <c r="G630" t="s">
        <v>18</v>
      </c>
      <c r="H630">
        <v>21573</v>
      </c>
      <c r="I630">
        <v>27</v>
      </c>
      <c r="J630">
        <v>49</v>
      </c>
      <c r="K630">
        <f t="shared" si="27"/>
        <v>0</v>
      </c>
      <c r="L630" s="4">
        <f t="shared" ca="1" si="28"/>
        <v>32</v>
      </c>
      <c r="M630" t="str">
        <f t="shared" si="29"/>
        <v>Jul-2023</v>
      </c>
      <c r="N630" t="s">
        <v>23</v>
      </c>
    </row>
    <row r="631" spans="1:14" x14ac:dyDescent="0.25">
      <c r="A631" t="s">
        <v>659</v>
      </c>
      <c r="B631" s="1">
        <v>45858</v>
      </c>
      <c r="D631">
        <v>42</v>
      </c>
      <c r="E631" t="s">
        <v>12</v>
      </c>
      <c r="F631" t="s">
        <v>47</v>
      </c>
      <c r="G631" t="s">
        <v>18</v>
      </c>
      <c r="H631">
        <v>2397</v>
      </c>
      <c r="I631">
        <v>3</v>
      </c>
      <c r="J631">
        <v>59</v>
      </c>
      <c r="K631">
        <f t="shared" si="27"/>
        <v>0</v>
      </c>
      <c r="L631" s="4">
        <f t="shared" ca="1" si="28"/>
        <v>8</v>
      </c>
      <c r="M631" t="str">
        <f t="shared" si="29"/>
        <v>Jul-2025</v>
      </c>
      <c r="N631" t="s">
        <v>19</v>
      </c>
    </row>
    <row r="632" spans="1:14" x14ac:dyDescent="0.25">
      <c r="A632" t="s">
        <v>660</v>
      </c>
      <c r="B632" s="1">
        <v>45015</v>
      </c>
      <c r="C632" s="1">
        <v>45465</v>
      </c>
      <c r="D632">
        <v>46</v>
      </c>
      <c r="E632" t="s">
        <v>21</v>
      </c>
      <c r="F632" t="s">
        <v>13</v>
      </c>
      <c r="G632" t="s">
        <v>18</v>
      </c>
      <c r="H632">
        <v>11985</v>
      </c>
      <c r="I632">
        <v>15</v>
      </c>
      <c r="J632">
        <v>60</v>
      </c>
      <c r="K632">
        <f t="shared" si="27"/>
        <v>1</v>
      </c>
      <c r="L632" s="4">
        <f t="shared" ca="1" si="28"/>
        <v>15</v>
      </c>
      <c r="M632" t="str">
        <f t="shared" si="29"/>
        <v>Mar-2023</v>
      </c>
      <c r="N632" t="s">
        <v>15</v>
      </c>
    </row>
    <row r="633" spans="1:14" x14ac:dyDescent="0.25">
      <c r="A633" t="s">
        <v>661</v>
      </c>
      <c r="B633" s="1">
        <v>45120</v>
      </c>
      <c r="D633">
        <v>52</v>
      </c>
      <c r="E633" t="s">
        <v>12</v>
      </c>
      <c r="F633" t="s">
        <v>38</v>
      </c>
      <c r="G633" t="s">
        <v>30</v>
      </c>
      <c r="H633">
        <v>20972</v>
      </c>
      <c r="I633">
        <v>28</v>
      </c>
      <c r="J633">
        <v>41</v>
      </c>
      <c r="K633">
        <f t="shared" si="27"/>
        <v>0</v>
      </c>
      <c r="L633" s="4">
        <f t="shared" ca="1" si="28"/>
        <v>33</v>
      </c>
      <c r="M633" t="str">
        <f t="shared" si="29"/>
        <v>Jul-2023</v>
      </c>
      <c r="N633" t="s">
        <v>23</v>
      </c>
    </row>
    <row r="634" spans="1:14" x14ac:dyDescent="0.25">
      <c r="A634" t="s">
        <v>662</v>
      </c>
      <c r="B634" s="1">
        <v>44993</v>
      </c>
      <c r="D634">
        <v>56</v>
      </c>
      <c r="E634" t="s">
        <v>12</v>
      </c>
      <c r="F634" t="s">
        <v>13</v>
      </c>
      <c r="G634" t="s">
        <v>18</v>
      </c>
      <c r="H634">
        <v>25568</v>
      </c>
      <c r="I634">
        <v>32</v>
      </c>
      <c r="J634">
        <v>92</v>
      </c>
      <c r="K634">
        <f t="shared" si="27"/>
        <v>0</v>
      </c>
      <c r="L634" s="4">
        <f t="shared" ca="1" si="28"/>
        <v>37</v>
      </c>
      <c r="M634" t="str">
        <f t="shared" si="29"/>
        <v>Mar-2023</v>
      </c>
      <c r="N634" t="s">
        <v>19</v>
      </c>
    </row>
    <row r="635" spans="1:14" x14ac:dyDescent="0.25">
      <c r="A635" t="s">
        <v>663</v>
      </c>
      <c r="B635" s="1">
        <v>45871</v>
      </c>
      <c r="C635" s="1">
        <v>45961</v>
      </c>
      <c r="D635">
        <v>50</v>
      </c>
      <c r="E635" t="s">
        <v>21</v>
      </c>
      <c r="F635" t="s">
        <v>41</v>
      </c>
      <c r="G635" t="s">
        <v>18</v>
      </c>
      <c r="H635">
        <v>2397</v>
      </c>
      <c r="I635">
        <v>3</v>
      </c>
      <c r="J635">
        <v>47</v>
      </c>
      <c r="K635">
        <f t="shared" si="27"/>
        <v>1</v>
      </c>
      <c r="L635" s="4">
        <f t="shared" ca="1" si="28"/>
        <v>3</v>
      </c>
      <c r="M635" t="str">
        <f t="shared" si="29"/>
        <v>Aug-2025</v>
      </c>
      <c r="N635" t="s">
        <v>15</v>
      </c>
    </row>
    <row r="636" spans="1:14" x14ac:dyDescent="0.25">
      <c r="A636" t="s">
        <v>664</v>
      </c>
      <c r="B636" s="1">
        <v>45080</v>
      </c>
      <c r="D636">
        <v>50</v>
      </c>
      <c r="E636" t="s">
        <v>21</v>
      </c>
      <c r="F636" t="s">
        <v>13</v>
      </c>
      <c r="G636" t="s">
        <v>14</v>
      </c>
      <c r="H636">
        <v>20271</v>
      </c>
      <c r="I636">
        <v>29</v>
      </c>
      <c r="J636">
        <v>57</v>
      </c>
      <c r="K636">
        <f t="shared" si="27"/>
        <v>0</v>
      </c>
      <c r="L636" s="4">
        <f t="shared" ca="1" si="28"/>
        <v>34</v>
      </c>
      <c r="M636" t="str">
        <f t="shared" si="29"/>
        <v>Jun-2023</v>
      </c>
      <c r="N636" t="s">
        <v>19</v>
      </c>
    </row>
    <row r="637" spans="1:14" x14ac:dyDescent="0.25">
      <c r="A637" t="s">
        <v>665</v>
      </c>
      <c r="B637" s="1">
        <v>44947</v>
      </c>
      <c r="D637">
        <v>25</v>
      </c>
      <c r="E637" t="s">
        <v>21</v>
      </c>
      <c r="F637" t="s">
        <v>38</v>
      </c>
      <c r="G637" t="s">
        <v>18</v>
      </c>
      <c r="H637">
        <v>26367</v>
      </c>
      <c r="I637">
        <v>33</v>
      </c>
      <c r="J637">
        <v>32</v>
      </c>
      <c r="K637">
        <f t="shared" si="27"/>
        <v>0</v>
      </c>
      <c r="L637" s="4">
        <f t="shared" ca="1" si="28"/>
        <v>39</v>
      </c>
      <c r="M637" t="str">
        <f t="shared" si="29"/>
        <v>Jan-2023</v>
      </c>
      <c r="N637" t="s">
        <v>19</v>
      </c>
    </row>
    <row r="638" spans="1:14" x14ac:dyDescent="0.25">
      <c r="A638" t="s">
        <v>666</v>
      </c>
      <c r="B638" s="1">
        <v>45461</v>
      </c>
      <c r="D638">
        <v>19</v>
      </c>
      <c r="E638" t="s">
        <v>21</v>
      </c>
      <c r="F638" t="s">
        <v>57</v>
      </c>
      <c r="G638" t="s">
        <v>18</v>
      </c>
      <c r="H638">
        <v>12784</v>
      </c>
      <c r="I638">
        <v>16</v>
      </c>
      <c r="J638">
        <v>68</v>
      </c>
      <c r="K638">
        <f t="shared" si="27"/>
        <v>0</v>
      </c>
      <c r="L638" s="4">
        <f t="shared" ca="1" si="28"/>
        <v>22</v>
      </c>
      <c r="M638" t="str">
        <f t="shared" si="29"/>
        <v>Jun-2024</v>
      </c>
      <c r="N638" t="s">
        <v>25</v>
      </c>
    </row>
    <row r="639" spans="1:14" x14ac:dyDescent="0.25">
      <c r="A639" t="s">
        <v>667</v>
      </c>
      <c r="B639" s="1">
        <v>45420</v>
      </c>
      <c r="D639">
        <v>31</v>
      </c>
      <c r="E639" t="s">
        <v>12</v>
      </c>
      <c r="F639" t="s">
        <v>38</v>
      </c>
      <c r="G639" t="s">
        <v>30</v>
      </c>
      <c r="H639">
        <v>13482</v>
      </c>
      <c r="I639">
        <v>18</v>
      </c>
      <c r="J639">
        <v>73</v>
      </c>
      <c r="K639">
        <f t="shared" si="27"/>
        <v>0</v>
      </c>
      <c r="L639" s="4">
        <f t="shared" ca="1" si="28"/>
        <v>23</v>
      </c>
      <c r="M639" t="str">
        <f t="shared" si="29"/>
        <v>May-2024</v>
      </c>
      <c r="N639" t="s">
        <v>19</v>
      </c>
    </row>
    <row r="640" spans="1:14" x14ac:dyDescent="0.25">
      <c r="A640" t="s">
        <v>668</v>
      </c>
      <c r="B640" s="1">
        <v>45591</v>
      </c>
      <c r="D640">
        <v>54</v>
      </c>
      <c r="E640" t="s">
        <v>12</v>
      </c>
      <c r="F640" t="s">
        <v>22</v>
      </c>
      <c r="G640" t="s">
        <v>14</v>
      </c>
      <c r="H640">
        <v>8388</v>
      </c>
      <c r="I640">
        <v>12</v>
      </c>
      <c r="J640">
        <v>51</v>
      </c>
      <c r="K640">
        <f t="shared" si="27"/>
        <v>0</v>
      </c>
      <c r="L640" s="4">
        <f t="shared" ca="1" si="28"/>
        <v>17</v>
      </c>
      <c r="M640" t="str">
        <f t="shared" si="29"/>
        <v>Oct-2024</v>
      </c>
      <c r="N640" t="s">
        <v>23</v>
      </c>
    </row>
    <row r="641" spans="1:14" x14ac:dyDescent="0.25">
      <c r="A641" t="s">
        <v>669</v>
      </c>
      <c r="B641" s="1">
        <v>44900</v>
      </c>
      <c r="D641">
        <v>43</v>
      </c>
      <c r="E641" t="s">
        <v>12</v>
      </c>
      <c r="F641" t="s">
        <v>38</v>
      </c>
      <c r="G641" t="s">
        <v>30</v>
      </c>
      <c r="H641">
        <v>26215</v>
      </c>
      <c r="I641">
        <v>35</v>
      </c>
      <c r="J641">
        <v>89</v>
      </c>
      <c r="K641">
        <f t="shared" si="27"/>
        <v>0</v>
      </c>
      <c r="L641" s="4">
        <f t="shared" ca="1" si="28"/>
        <v>40</v>
      </c>
      <c r="M641" t="str">
        <f t="shared" si="29"/>
        <v>Dec-2022</v>
      </c>
      <c r="N641" t="s">
        <v>23</v>
      </c>
    </row>
    <row r="642" spans="1:14" x14ac:dyDescent="0.25">
      <c r="A642" t="s">
        <v>670</v>
      </c>
      <c r="B642" s="1">
        <v>45092</v>
      </c>
      <c r="D642">
        <v>36</v>
      </c>
      <c r="E642" t="s">
        <v>12</v>
      </c>
      <c r="F642" t="s">
        <v>27</v>
      </c>
      <c r="G642" t="s">
        <v>18</v>
      </c>
      <c r="H642">
        <v>23171</v>
      </c>
      <c r="I642">
        <v>29</v>
      </c>
      <c r="J642">
        <v>34</v>
      </c>
      <c r="K642">
        <f t="shared" si="27"/>
        <v>0</v>
      </c>
      <c r="L642" s="4">
        <f t="shared" ca="1" si="28"/>
        <v>34</v>
      </c>
      <c r="M642" t="str">
        <f t="shared" si="29"/>
        <v>Jun-2023</v>
      </c>
      <c r="N642" t="s">
        <v>19</v>
      </c>
    </row>
    <row r="643" spans="1:14" x14ac:dyDescent="0.25">
      <c r="A643" t="s">
        <v>671</v>
      </c>
      <c r="B643" s="1">
        <v>45232</v>
      </c>
      <c r="D643">
        <v>52</v>
      </c>
      <c r="E643" t="s">
        <v>21</v>
      </c>
      <c r="F643" t="s">
        <v>17</v>
      </c>
      <c r="G643" t="s">
        <v>18</v>
      </c>
      <c r="H643">
        <v>19176</v>
      </c>
      <c r="I643">
        <v>24</v>
      </c>
      <c r="J643">
        <v>67</v>
      </c>
      <c r="K643">
        <f t="shared" ref="K643:K706" si="30">IF(ISBLANK(C643), 0, 1)</f>
        <v>0</v>
      </c>
      <c r="L643" s="4">
        <f t="shared" ref="L643:L706" ca="1" si="31">ROUNDUP(DATEDIF(B643, IF(ISBLANK(C643), TODAY(), C643), "d")/30, 0)</f>
        <v>29</v>
      </c>
      <c r="M643" t="str">
        <f t="shared" ref="M643:M706" si="32">TEXT(B643, "mmm-yyyy")</f>
        <v>Nov-2023</v>
      </c>
      <c r="N643" t="s">
        <v>23</v>
      </c>
    </row>
    <row r="644" spans="1:14" x14ac:dyDescent="0.25">
      <c r="A644" t="s">
        <v>672</v>
      </c>
      <c r="B644" s="1">
        <v>45153</v>
      </c>
      <c r="D644">
        <v>22</v>
      </c>
      <c r="E644" t="s">
        <v>21</v>
      </c>
      <c r="F644" t="s">
        <v>57</v>
      </c>
      <c r="G644" t="s">
        <v>30</v>
      </c>
      <c r="H644">
        <v>19474</v>
      </c>
      <c r="I644">
        <v>26</v>
      </c>
      <c r="J644">
        <v>64</v>
      </c>
      <c r="K644">
        <f t="shared" si="30"/>
        <v>0</v>
      </c>
      <c r="L644" s="4">
        <f t="shared" ca="1" si="31"/>
        <v>32</v>
      </c>
      <c r="M644" t="str">
        <f t="shared" si="32"/>
        <v>Aug-2023</v>
      </c>
      <c r="N644" t="s">
        <v>25</v>
      </c>
    </row>
    <row r="645" spans="1:14" x14ac:dyDescent="0.25">
      <c r="A645" t="s">
        <v>673</v>
      </c>
      <c r="B645" s="1">
        <v>45488</v>
      </c>
      <c r="D645">
        <v>33</v>
      </c>
      <c r="E645" t="s">
        <v>21</v>
      </c>
      <c r="F645" t="s">
        <v>38</v>
      </c>
      <c r="G645" t="s">
        <v>14</v>
      </c>
      <c r="H645">
        <v>10485</v>
      </c>
      <c r="I645">
        <v>15</v>
      </c>
      <c r="J645">
        <v>40</v>
      </c>
      <c r="K645">
        <f t="shared" si="30"/>
        <v>0</v>
      </c>
      <c r="L645" s="4">
        <f t="shared" ca="1" si="31"/>
        <v>21</v>
      </c>
      <c r="M645" t="str">
        <f t="shared" si="32"/>
        <v>Jul-2024</v>
      </c>
      <c r="N645" t="s">
        <v>19</v>
      </c>
    </row>
    <row r="646" spans="1:14" x14ac:dyDescent="0.25">
      <c r="A646" t="s">
        <v>674</v>
      </c>
      <c r="B646" s="1">
        <v>44888</v>
      </c>
      <c r="D646">
        <v>51</v>
      </c>
      <c r="E646" t="s">
        <v>21</v>
      </c>
      <c r="F646" t="s">
        <v>13</v>
      </c>
      <c r="G646" t="s">
        <v>18</v>
      </c>
      <c r="H646">
        <v>27965</v>
      </c>
      <c r="I646">
        <v>35</v>
      </c>
      <c r="J646">
        <v>66</v>
      </c>
      <c r="K646">
        <f t="shared" si="30"/>
        <v>0</v>
      </c>
      <c r="L646" s="4">
        <f t="shared" ca="1" si="31"/>
        <v>41</v>
      </c>
      <c r="M646" t="str">
        <f t="shared" si="32"/>
        <v>Nov-2022</v>
      </c>
      <c r="N646" t="s">
        <v>19</v>
      </c>
    </row>
    <row r="647" spans="1:14" x14ac:dyDescent="0.25">
      <c r="A647" t="s">
        <v>675</v>
      </c>
      <c r="B647" s="1">
        <v>45189</v>
      </c>
      <c r="D647">
        <v>60</v>
      </c>
      <c r="E647" t="s">
        <v>21</v>
      </c>
      <c r="F647" t="s">
        <v>32</v>
      </c>
      <c r="G647" t="s">
        <v>18</v>
      </c>
      <c r="H647">
        <v>19975</v>
      </c>
      <c r="I647">
        <v>25</v>
      </c>
      <c r="J647">
        <v>54</v>
      </c>
      <c r="K647">
        <f t="shared" si="30"/>
        <v>0</v>
      </c>
      <c r="L647" s="4">
        <f t="shared" ca="1" si="31"/>
        <v>31</v>
      </c>
      <c r="M647" t="str">
        <f t="shared" si="32"/>
        <v>Sep-2023</v>
      </c>
      <c r="N647" t="s">
        <v>25</v>
      </c>
    </row>
    <row r="648" spans="1:14" x14ac:dyDescent="0.25">
      <c r="A648" t="s">
        <v>676</v>
      </c>
      <c r="B648" s="1">
        <v>44926</v>
      </c>
      <c r="D648">
        <v>29</v>
      </c>
      <c r="E648" t="s">
        <v>21</v>
      </c>
      <c r="F648" t="s">
        <v>38</v>
      </c>
      <c r="G648" t="s">
        <v>18</v>
      </c>
      <c r="H648">
        <v>27166</v>
      </c>
      <c r="I648">
        <v>34</v>
      </c>
      <c r="J648">
        <v>29</v>
      </c>
      <c r="K648">
        <f t="shared" si="30"/>
        <v>0</v>
      </c>
      <c r="L648" s="4">
        <f t="shared" ca="1" si="31"/>
        <v>40</v>
      </c>
      <c r="M648" t="str">
        <f t="shared" si="32"/>
        <v>Dec-2022</v>
      </c>
      <c r="N648" t="s">
        <v>19</v>
      </c>
    </row>
    <row r="649" spans="1:14" x14ac:dyDescent="0.25">
      <c r="A649" t="s">
        <v>677</v>
      </c>
      <c r="B649" s="1">
        <v>45518</v>
      </c>
      <c r="D649">
        <v>18</v>
      </c>
      <c r="E649" t="s">
        <v>12</v>
      </c>
      <c r="F649" t="s">
        <v>27</v>
      </c>
      <c r="G649" t="s">
        <v>14</v>
      </c>
      <c r="H649">
        <v>9786</v>
      </c>
      <c r="I649">
        <v>14</v>
      </c>
      <c r="J649">
        <v>71</v>
      </c>
      <c r="K649">
        <f t="shared" si="30"/>
        <v>0</v>
      </c>
      <c r="L649" s="4">
        <f t="shared" ca="1" si="31"/>
        <v>20</v>
      </c>
      <c r="M649" t="str">
        <f t="shared" si="32"/>
        <v>Aug-2024</v>
      </c>
      <c r="N649" t="s">
        <v>19</v>
      </c>
    </row>
    <row r="650" spans="1:14" x14ac:dyDescent="0.25">
      <c r="A650" t="s">
        <v>678</v>
      </c>
      <c r="B650" s="1">
        <v>44970</v>
      </c>
      <c r="D650">
        <v>22</v>
      </c>
      <c r="E650" t="s">
        <v>12</v>
      </c>
      <c r="F650" t="s">
        <v>41</v>
      </c>
      <c r="G650" t="s">
        <v>14</v>
      </c>
      <c r="H650">
        <v>23067</v>
      </c>
      <c r="I650">
        <v>33</v>
      </c>
      <c r="J650">
        <v>80</v>
      </c>
      <c r="K650">
        <f t="shared" si="30"/>
        <v>0</v>
      </c>
      <c r="L650" s="4">
        <f t="shared" ca="1" si="31"/>
        <v>38</v>
      </c>
      <c r="M650" t="str">
        <f t="shared" si="32"/>
        <v>Feb-2023</v>
      </c>
      <c r="N650" t="s">
        <v>25</v>
      </c>
    </row>
    <row r="651" spans="1:14" x14ac:dyDescent="0.25">
      <c r="A651" t="s">
        <v>679</v>
      </c>
      <c r="B651" s="1">
        <v>44870</v>
      </c>
      <c r="D651">
        <v>60</v>
      </c>
      <c r="E651" t="s">
        <v>12</v>
      </c>
      <c r="F651" t="s">
        <v>17</v>
      </c>
      <c r="G651" t="s">
        <v>30</v>
      </c>
      <c r="H651">
        <v>26964</v>
      </c>
      <c r="I651">
        <v>36</v>
      </c>
      <c r="J651">
        <v>77</v>
      </c>
      <c r="K651">
        <f t="shared" si="30"/>
        <v>0</v>
      </c>
      <c r="L651" s="4">
        <f t="shared" ca="1" si="31"/>
        <v>41</v>
      </c>
      <c r="M651" t="str">
        <f t="shared" si="32"/>
        <v>Nov-2022</v>
      </c>
      <c r="N651" t="s">
        <v>23</v>
      </c>
    </row>
    <row r="652" spans="1:14" x14ac:dyDescent="0.25">
      <c r="A652" t="s">
        <v>680</v>
      </c>
      <c r="B652" s="1">
        <v>44953</v>
      </c>
      <c r="C652" s="1">
        <v>45433</v>
      </c>
      <c r="D652">
        <v>54</v>
      </c>
      <c r="E652" t="s">
        <v>21</v>
      </c>
      <c r="F652" t="s">
        <v>38</v>
      </c>
      <c r="G652" t="s">
        <v>18</v>
      </c>
      <c r="H652">
        <v>12784</v>
      </c>
      <c r="I652">
        <v>16</v>
      </c>
      <c r="J652">
        <v>44</v>
      </c>
      <c r="K652">
        <f t="shared" si="30"/>
        <v>1</v>
      </c>
      <c r="L652" s="4">
        <f t="shared" ca="1" si="31"/>
        <v>16</v>
      </c>
      <c r="M652" t="str">
        <f t="shared" si="32"/>
        <v>Jan-2023</v>
      </c>
      <c r="N652" t="s">
        <v>19</v>
      </c>
    </row>
    <row r="653" spans="1:14" x14ac:dyDescent="0.25">
      <c r="A653" t="s">
        <v>681</v>
      </c>
      <c r="B653" s="1">
        <v>45266</v>
      </c>
      <c r="D653">
        <v>49</v>
      </c>
      <c r="E653" t="s">
        <v>12</v>
      </c>
      <c r="F653" t="s">
        <v>13</v>
      </c>
      <c r="G653" t="s">
        <v>18</v>
      </c>
      <c r="H653">
        <v>18377</v>
      </c>
      <c r="I653">
        <v>23</v>
      </c>
      <c r="J653">
        <v>25</v>
      </c>
      <c r="K653">
        <f t="shared" si="30"/>
        <v>0</v>
      </c>
      <c r="L653" s="4">
        <f t="shared" ca="1" si="31"/>
        <v>28</v>
      </c>
      <c r="M653" t="str">
        <f t="shared" si="32"/>
        <v>Dec-2023</v>
      </c>
      <c r="N653" t="s">
        <v>19</v>
      </c>
    </row>
    <row r="654" spans="1:14" x14ac:dyDescent="0.25">
      <c r="A654" t="s">
        <v>682</v>
      </c>
      <c r="B654" s="1">
        <v>45905</v>
      </c>
      <c r="C654" s="1">
        <v>45935</v>
      </c>
      <c r="D654">
        <v>39</v>
      </c>
      <c r="E654" t="s">
        <v>12</v>
      </c>
      <c r="F654" t="s">
        <v>27</v>
      </c>
      <c r="G654" t="s">
        <v>18</v>
      </c>
      <c r="H654">
        <v>799</v>
      </c>
      <c r="I654">
        <v>1</v>
      </c>
      <c r="J654">
        <v>56</v>
      </c>
      <c r="K654">
        <f t="shared" si="30"/>
        <v>1</v>
      </c>
      <c r="L654" s="4">
        <f t="shared" ca="1" si="31"/>
        <v>1</v>
      </c>
      <c r="M654" t="str">
        <f t="shared" si="32"/>
        <v>Sep-2025</v>
      </c>
      <c r="N654" t="s">
        <v>23</v>
      </c>
    </row>
    <row r="655" spans="1:14" x14ac:dyDescent="0.25">
      <c r="A655" t="s">
        <v>683</v>
      </c>
      <c r="B655" s="1">
        <v>45721</v>
      </c>
      <c r="D655">
        <v>26</v>
      </c>
      <c r="E655" t="s">
        <v>15</v>
      </c>
      <c r="F655" t="s">
        <v>32</v>
      </c>
      <c r="G655" t="s">
        <v>30</v>
      </c>
      <c r="H655">
        <v>5992</v>
      </c>
      <c r="I655">
        <v>8</v>
      </c>
      <c r="J655">
        <v>97</v>
      </c>
      <c r="K655">
        <f t="shared" si="30"/>
        <v>0</v>
      </c>
      <c r="L655" s="4">
        <f t="shared" ca="1" si="31"/>
        <v>13</v>
      </c>
      <c r="M655" t="str">
        <f t="shared" si="32"/>
        <v>Mar-2025</v>
      </c>
      <c r="N655" t="s">
        <v>23</v>
      </c>
    </row>
    <row r="656" spans="1:14" x14ac:dyDescent="0.25">
      <c r="A656" t="s">
        <v>684</v>
      </c>
      <c r="B656" s="1">
        <v>45833</v>
      </c>
      <c r="D656">
        <v>49</v>
      </c>
      <c r="E656" t="s">
        <v>12</v>
      </c>
      <c r="F656" t="s">
        <v>27</v>
      </c>
      <c r="G656" t="s">
        <v>18</v>
      </c>
      <c r="H656">
        <v>3196</v>
      </c>
      <c r="I656">
        <v>4</v>
      </c>
      <c r="J656">
        <v>61</v>
      </c>
      <c r="K656">
        <f t="shared" si="30"/>
        <v>0</v>
      </c>
      <c r="L656" s="4">
        <f t="shared" ca="1" si="31"/>
        <v>9</v>
      </c>
      <c r="M656" t="str">
        <f t="shared" si="32"/>
        <v>Jun-2025</v>
      </c>
      <c r="N656" t="s">
        <v>23</v>
      </c>
    </row>
    <row r="657" spans="1:14" x14ac:dyDescent="0.25">
      <c r="A657" t="s">
        <v>685</v>
      </c>
      <c r="B657" s="1">
        <v>45034</v>
      </c>
      <c r="C657" s="1">
        <v>45454</v>
      </c>
      <c r="D657">
        <v>37</v>
      </c>
      <c r="E657" t="s">
        <v>12</v>
      </c>
      <c r="F657" t="s">
        <v>38</v>
      </c>
      <c r="G657" t="s">
        <v>30</v>
      </c>
      <c r="H657">
        <v>10486</v>
      </c>
      <c r="I657">
        <v>14</v>
      </c>
      <c r="J657">
        <v>70</v>
      </c>
      <c r="K657">
        <f t="shared" si="30"/>
        <v>1</v>
      </c>
      <c r="L657" s="4">
        <f t="shared" ca="1" si="31"/>
        <v>14</v>
      </c>
      <c r="M657" t="str">
        <f t="shared" si="32"/>
        <v>Apr-2023</v>
      </c>
      <c r="N657" t="s">
        <v>25</v>
      </c>
    </row>
    <row r="658" spans="1:14" x14ac:dyDescent="0.25">
      <c r="A658" t="s">
        <v>686</v>
      </c>
      <c r="B658" s="1">
        <v>45787</v>
      </c>
      <c r="C658" s="1">
        <v>45937</v>
      </c>
      <c r="D658">
        <v>37</v>
      </c>
      <c r="E658" t="s">
        <v>12</v>
      </c>
      <c r="F658" t="s">
        <v>13</v>
      </c>
      <c r="G658" t="s">
        <v>30</v>
      </c>
      <c r="H658">
        <v>3745</v>
      </c>
      <c r="I658">
        <v>5</v>
      </c>
      <c r="J658">
        <v>67</v>
      </c>
      <c r="K658">
        <f t="shared" si="30"/>
        <v>1</v>
      </c>
      <c r="L658" s="4">
        <f t="shared" ca="1" si="31"/>
        <v>5</v>
      </c>
      <c r="M658" t="str">
        <f t="shared" si="32"/>
        <v>May-2025</v>
      </c>
      <c r="N658" t="s">
        <v>19</v>
      </c>
    </row>
    <row r="659" spans="1:14" x14ac:dyDescent="0.25">
      <c r="A659" t="s">
        <v>687</v>
      </c>
      <c r="B659" s="1">
        <v>45210</v>
      </c>
      <c r="D659">
        <v>25</v>
      </c>
      <c r="E659" t="s">
        <v>21</v>
      </c>
      <c r="F659" t="s">
        <v>47</v>
      </c>
      <c r="G659" t="s">
        <v>18</v>
      </c>
      <c r="H659">
        <v>19975</v>
      </c>
      <c r="I659">
        <v>25</v>
      </c>
      <c r="J659">
        <v>34</v>
      </c>
      <c r="K659">
        <f t="shared" si="30"/>
        <v>0</v>
      </c>
      <c r="L659" s="4">
        <f t="shared" ca="1" si="31"/>
        <v>30</v>
      </c>
      <c r="M659" t="str">
        <f t="shared" si="32"/>
        <v>Oct-2023</v>
      </c>
      <c r="N659" t="s">
        <v>23</v>
      </c>
    </row>
    <row r="660" spans="1:14" x14ac:dyDescent="0.25">
      <c r="A660" t="s">
        <v>688</v>
      </c>
      <c r="B660" s="1">
        <v>45298</v>
      </c>
      <c r="C660" s="1">
        <v>45778</v>
      </c>
      <c r="D660">
        <v>20</v>
      </c>
      <c r="E660" t="s">
        <v>21</v>
      </c>
      <c r="F660" t="s">
        <v>32</v>
      </c>
      <c r="G660" t="s">
        <v>30</v>
      </c>
      <c r="H660">
        <v>11984</v>
      </c>
      <c r="I660">
        <v>16</v>
      </c>
      <c r="J660">
        <v>34</v>
      </c>
      <c r="K660">
        <f t="shared" si="30"/>
        <v>1</v>
      </c>
      <c r="L660" s="4">
        <f t="shared" ca="1" si="31"/>
        <v>16</v>
      </c>
      <c r="M660" t="str">
        <f t="shared" si="32"/>
        <v>Jan-2024</v>
      </c>
      <c r="N660" t="s">
        <v>25</v>
      </c>
    </row>
    <row r="661" spans="1:14" x14ac:dyDescent="0.25">
      <c r="A661" t="s">
        <v>689</v>
      </c>
      <c r="B661" s="1">
        <v>45830</v>
      </c>
      <c r="D661">
        <v>18</v>
      </c>
      <c r="E661" t="s">
        <v>12</v>
      </c>
      <c r="F661" t="s">
        <v>41</v>
      </c>
      <c r="G661" t="s">
        <v>14</v>
      </c>
      <c r="H661">
        <v>2796</v>
      </c>
      <c r="I661">
        <v>4</v>
      </c>
      <c r="J661">
        <v>83</v>
      </c>
      <c r="K661">
        <f t="shared" si="30"/>
        <v>0</v>
      </c>
      <c r="L661" s="4">
        <f t="shared" ca="1" si="31"/>
        <v>9</v>
      </c>
      <c r="M661" t="str">
        <f t="shared" si="32"/>
        <v>Jun-2025</v>
      </c>
      <c r="N661" t="s">
        <v>25</v>
      </c>
    </row>
    <row r="662" spans="1:14" x14ac:dyDescent="0.25">
      <c r="A662" t="s">
        <v>690</v>
      </c>
      <c r="B662" s="1">
        <v>45937</v>
      </c>
      <c r="D662">
        <v>43</v>
      </c>
      <c r="E662" t="s">
        <v>21</v>
      </c>
      <c r="F662" t="s">
        <v>41</v>
      </c>
      <c r="G662" t="s">
        <v>14</v>
      </c>
      <c r="H662">
        <v>699</v>
      </c>
      <c r="I662">
        <v>1</v>
      </c>
      <c r="J662">
        <v>59</v>
      </c>
      <c r="K662">
        <f t="shared" si="30"/>
        <v>0</v>
      </c>
      <c r="L662" s="4">
        <f t="shared" ca="1" si="31"/>
        <v>6</v>
      </c>
      <c r="M662" t="str">
        <f t="shared" si="32"/>
        <v>Oct-2025</v>
      </c>
      <c r="N662" t="s">
        <v>19</v>
      </c>
    </row>
    <row r="663" spans="1:14" x14ac:dyDescent="0.25">
      <c r="A663" t="s">
        <v>691</v>
      </c>
      <c r="B663" s="1">
        <v>45568</v>
      </c>
      <c r="D663">
        <v>27</v>
      </c>
      <c r="E663" t="s">
        <v>21</v>
      </c>
      <c r="F663" t="s">
        <v>41</v>
      </c>
      <c r="G663" t="s">
        <v>18</v>
      </c>
      <c r="H663">
        <v>10387</v>
      </c>
      <c r="I663">
        <v>13</v>
      </c>
      <c r="J663">
        <v>69</v>
      </c>
      <c r="K663">
        <f t="shared" si="30"/>
        <v>0</v>
      </c>
      <c r="L663" s="4">
        <f t="shared" ca="1" si="31"/>
        <v>18</v>
      </c>
      <c r="M663" t="str">
        <f t="shared" si="32"/>
        <v>Oct-2024</v>
      </c>
      <c r="N663" t="s">
        <v>25</v>
      </c>
    </row>
    <row r="664" spans="1:14" x14ac:dyDescent="0.25">
      <c r="A664" t="s">
        <v>692</v>
      </c>
      <c r="B664" s="1">
        <v>45592</v>
      </c>
      <c r="D664">
        <v>49</v>
      </c>
      <c r="E664" t="s">
        <v>12</v>
      </c>
      <c r="F664" t="s">
        <v>38</v>
      </c>
      <c r="G664" t="s">
        <v>18</v>
      </c>
      <c r="H664">
        <v>9588</v>
      </c>
      <c r="I664">
        <v>12</v>
      </c>
      <c r="J664">
        <v>34</v>
      </c>
      <c r="K664">
        <f t="shared" si="30"/>
        <v>0</v>
      </c>
      <c r="L664" s="4">
        <f t="shared" ca="1" si="31"/>
        <v>17</v>
      </c>
      <c r="M664" t="str">
        <f t="shared" si="32"/>
        <v>Oct-2024</v>
      </c>
      <c r="N664" t="s">
        <v>23</v>
      </c>
    </row>
    <row r="665" spans="1:14" x14ac:dyDescent="0.25">
      <c r="A665" t="s">
        <v>693</v>
      </c>
      <c r="B665" s="1">
        <v>45128</v>
      </c>
      <c r="D665">
        <v>41</v>
      </c>
      <c r="E665" t="s">
        <v>21</v>
      </c>
      <c r="F665" t="s">
        <v>57</v>
      </c>
      <c r="G665" t="s">
        <v>18</v>
      </c>
      <c r="H665">
        <v>21573</v>
      </c>
      <c r="I665">
        <v>27</v>
      </c>
      <c r="J665">
        <v>64</v>
      </c>
      <c r="K665">
        <f t="shared" si="30"/>
        <v>0</v>
      </c>
      <c r="L665" s="4">
        <f t="shared" ca="1" si="31"/>
        <v>33</v>
      </c>
      <c r="M665" t="str">
        <f t="shared" si="32"/>
        <v>Jul-2023</v>
      </c>
      <c r="N665" t="s">
        <v>23</v>
      </c>
    </row>
    <row r="666" spans="1:14" x14ac:dyDescent="0.25">
      <c r="A666" t="s">
        <v>694</v>
      </c>
      <c r="B666" s="1">
        <v>44944</v>
      </c>
      <c r="C666" s="1">
        <v>45094</v>
      </c>
      <c r="D666">
        <v>54</v>
      </c>
      <c r="E666" t="s">
        <v>21</v>
      </c>
      <c r="F666" t="s">
        <v>27</v>
      </c>
      <c r="G666" t="s">
        <v>18</v>
      </c>
      <c r="H666">
        <v>3995</v>
      </c>
      <c r="I666">
        <v>5</v>
      </c>
      <c r="J666">
        <v>73</v>
      </c>
      <c r="K666">
        <f t="shared" si="30"/>
        <v>1</v>
      </c>
      <c r="L666" s="4">
        <f t="shared" ca="1" si="31"/>
        <v>5</v>
      </c>
      <c r="M666" t="str">
        <f t="shared" si="32"/>
        <v>Jan-2023</v>
      </c>
      <c r="N666" t="s">
        <v>23</v>
      </c>
    </row>
    <row r="667" spans="1:14" x14ac:dyDescent="0.25">
      <c r="A667" t="s">
        <v>695</v>
      </c>
      <c r="B667" s="1">
        <v>45276</v>
      </c>
      <c r="C667" s="1">
        <v>45786</v>
      </c>
      <c r="D667">
        <v>60</v>
      </c>
      <c r="E667" t="s">
        <v>12</v>
      </c>
      <c r="F667" t="s">
        <v>13</v>
      </c>
      <c r="G667" t="s">
        <v>30</v>
      </c>
      <c r="H667">
        <v>12733</v>
      </c>
      <c r="I667">
        <v>17</v>
      </c>
      <c r="J667">
        <v>39</v>
      </c>
      <c r="K667">
        <f t="shared" si="30"/>
        <v>1</v>
      </c>
      <c r="L667" s="4">
        <f t="shared" ca="1" si="31"/>
        <v>17</v>
      </c>
      <c r="M667" t="str">
        <f t="shared" si="32"/>
        <v>Dec-2023</v>
      </c>
      <c r="N667" t="s">
        <v>19</v>
      </c>
    </row>
    <row r="668" spans="1:14" x14ac:dyDescent="0.25">
      <c r="A668" t="s">
        <v>696</v>
      </c>
      <c r="B668" s="1">
        <v>45142</v>
      </c>
      <c r="D668">
        <v>20</v>
      </c>
      <c r="E668" t="s">
        <v>21</v>
      </c>
      <c r="F668" t="s">
        <v>29</v>
      </c>
      <c r="G668" t="s">
        <v>30</v>
      </c>
      <c r="H668">
        <v>20223</v>
      </c>
      <c r="I668">
        <v>27</v>
      </c>
      <c r="J668">
        <v>51</v>
      </c>
      <c r="K668">
        <f t="shared" si="30"/>
        <v>0</v>
      </c>
      <c r="L668" s="4">
        <f t="shared" ca="1" si="31"/>
        <v>32</v>
      </c>
      <c r="M668" t="str">
        <f t="shared" si="32"/>
        <v>Aug-2023</v>
      </c>
      <c r="N668" t="s">
        <v>23</v>
      </c>
    </row>
    <row r="669" spans="1:14" x14ac:dyDescent="0.25">
      <c r="A669" t="s">
        <v>697</v>
      </c>
      <c r="B669" s="1">
        <v>44887</v>
      </c>
      <c r="D669">
        <v>43</v>
      </c>
      <c r="E669" t="s">
        <v>21</v>
      </c>
      <c r="F669" t="s">
        <v>17</v>
      </c>
      <c r="G669" t="s">
        <v>18</v>
      </c>
      <c r="H669">
        <v>27965</v>
      </c>
      <c r="I669">
        <v>35</v>
      </c>
      <c r="J669">
        <v>93</v>
      </c>
      <c r="K669">
        <f t="shared" si="30"/>
        <v>0</v>
      </c>
      <c r="L669" s="4">
        <f t="shared" ca="1" si="31"/>
        <v>41</v>
      </c>
      <c r="M669" t="str">
        <f t="shared" si="32"/>
        <v>Nov-2022</v>
      </c>
      <c r="N669" t="s">
        <v>23</v>
      </c>
    </row>
    <row r="670" spans="1:14" x14ac:dyDescent="0.25">
      <c r="A670" t="s">
        <v>698</v>
      </c>
      <c r="B670" s="1">
        <v>44938</v>
      </c>
      <c r="D670">
        <v>19</v>
      </c>
      <c r="E670" t="s">
        <v>21</v>
      </c>
      <c r="F670" t="s">
        <v>29</v>
      </c>
      <c r="G670" t="s">
        <v>18</v>
      </c>
      <c r="H670">
        <v>27166</v>
      </c>
      <c r="I670">
        <v>34</v>
      </c>
      <c r="J670">
        <v>74</v>
      </c>
      <c r="K670">
        <f t="shared" si="30"/>
        <v>0</v>
      </c>
      <c r="L670" s="4">
        <f t="shared" ca="1" si="31"/>
        <v>39</v>
      </c>
      <c r="M670" t="str">
        <f t="shared" si="32"/>
        <v>Jan-2023</v>
      </c>
      <c r="N670" t="s">
        <v>23</v>
      </c>
    </row>
    <row r="671" spans="1:14" x14ac:dyDescent="0.25">
      <c r="A671" t="s">
        <v>699</v>
      </c>
      <c r="B671" s="1">
        <v>45619</v>
      </c>
      <c r="D671">
        <v>31</v>
      </c>
      <c r="E671" t="s">
        <v>21</v>
      </c>
      <c r="F671" t="s">
        <v>17</v>
      </c>
      <c r="G671" t="s">
        <v>18</v>
      </c>
      <c r="H671">
        <v>8789</v>
      </c>
      <c r="I671">
        <v>11</v>
      </c>
      <c r="J671">
        <v>44</v>
      </c>
      <c r="K671">
        <f t="shared" si="30"/>
        <v>0</v>
      </c>
      <c r="L671" s="4">
        <f t="shared" ca="1" si="31"/>
        <v>16</v>
      </c>
      <c r="M671" t="str">
        <f t="shared" si="32"/>
        <v>Nov-2024</v>
      </c>
      <c r="N671" t="s">
        <v>23</v>
      </c>
    </row>
    <row r="672" spans="1:14" x14ac:dyDescent="0.25">
      <c r="A672" t="s">
        <v>700</v>
      </c>
      <c r="B672" s="1">
        <v>45656</v>
      </c>
      <c r="D672">
        <v>21</v>
      </c>
      <c r="E672" t="s">
        <v>12</v>
      </c>
      <c r="F672" t="s">
        <v>13</v>
      </c>
      <c r="G672" t="s">
        <v>18</v>
      </c>
      <c r="H672">
        <v>7990</v>
      </c>
      <c r="I672">
        <v>10</v>
      </c>
      <c r="J672">
        <v>21</v>
      </c>
      <c r="K672">
        <f t="shared" si="30"/>
        <v>0</v>
      </c>
      <c r="L672" s="4">
        <f t="shared" ca="1" si="31"/>
        <v>15</v>
      </c>
      <c r="M672" t="str">
        <f t="shared" si="32"/>
        <v>Dec-2024</v>
      </c>
      <c r="N672" t="s">
        <v>23</v>
      </c>
    </row>
    <row r="673" spans="1:14" x14ac:dyDescent="0.25">
      <c r="A673" t="s">
        <v>701</v>
      </c>
      <c r="B673" s="1">
        <v>45753</v>
      </c>
      <c r="D673">
        <v>25</v>
      </c>
      <c r="E673" t="s">
        <v>12</v>
      </c>
      <c r="F673" t="s">
        <v>29</v>
      </c>
      <c r="G673" t="s">
        <v>18</v>
      </c>
      <c r="H673">
        <v>4794</v>
      </c>
      <c r="I673">
        <v>6</v>
      </c>
      <c r="J673">
        <v>70</v>
      </c>
      <c r="K673">
        <f t="shared" si="30"/>
        <v>0</v>
      </c>
      <c r="L673" s="4">
        <f t="shared" ca="1" si="31"/>
        <v>12</v>
      </c>
      <c r="M673" t="str">
        <f t="shared" si="32"/>
        <v>Apr-2025</v>
      </c>
      <c r="N673" t="s">
        <v>23</v>
      </c>
    </row>
    <row r="674" spans="1:14" x14ac:dyDescent="0.25">
      <c r="A674" t="s">
        <v>702</v>
      </c>
      <c r="B674" s="1">
        <v>45058</v>
      </c>
      <c r="C674" s="1">
        <v>45388</v>
      </c>
      <c r="D674">
        <v>39</v>
      </c>
      <c r="E674" t="s">
        <v>21</v>
      </c>
      <c r="F674" t="s">
        <v>27</v>
      </c>
      <c r="G674" t="s">
        <v>30</v>
      </c>
      <c r="H674">
        <v>8239</v>
      </c>
      <c r="I674">
        <v>11</v>
      </c>
      <c r="J674">
        <v>80</v>
      </c>
      <c r="K674">
        <f t="shared" si="30"/>
        <v>1</v>
      </c>
      <c r="L674" s="4">
        <f t="shared" ca="1" si="31"/>
        <v>11</v>
      </c>
      <c r="M674" t="str">
        <f t="shared" si="32"/>
        <v>May-2023</v>
      </c>
      <c r="N674" t="s">
        <v>19</v>
      </c>
    </row>
    <row r="675" spans="1:14" x14ac:dyDescent="0.25">
      <c r="A675" t="s">
        <v>703</v>
      </c>
      <c r="B675" s="1">
        <v>45587</v>
      </c>
      <c r="D675">
        <v>22</v>
      </c>
      <c r="E675" t="s">
        <v>12</v>
      </c>
      <c r="F675" t="s">
        <v>57</v>
      </c>
      <c r="G675" t="s">
        <v>18</v>
      </c>
      <c r="H675">
        <v>9588</v>
      </c>
      <c r="I675">
        <v>12</v>
      </c>
      <c r="J675">
        <v>44</v>
      </c>
      <c r="K675">
        <f t="shared" si="30"/>
        <v>0</v>
      </c>
      <c r="L675" s="4">
        <f t="shared" ca="1" si="31"/>
        <v>17</v>
      </c>
      <c r="M675" t="str">
        <f t="shared" si="32"/>
        <v>Oct-2024</v>
      </c>
      <c r="N675" t="s">
        <v>19</v>
      </c>
    </row>
    <row r="676" spans="1:14" x14ac:dyDescent="0.25">
      <c r="A676" t="s">
        <v>704</v>
      </c>
      <c r="B676" s="1">
        <v>45884</v>
      </c>
      <c r="D676">
        <v>29</v>
      </c>
      <c r="E676" t="s">
        <v>12</v>
      </c>
      <c r="F676" t="s">
        <v>57</v>
      </c>
      <c r="G676" t="s">
        <v>18</v>
      </c>
      <c r="H676">
        <v>1598</v>
      </c>
      <c r="I676">
        <v>2</v>
      </c>
      <c r="J676">
        <v>75</v>
      </c>
      <c r="K676">
        <f t="shared" si="30"/>
        <v>0</v>
      </c>
      <c r="L676" s="4">
        <f t="shared" ca="1" si="31"/>
        <v>8</v>
      </c>
      <c r="M676" t="str">
        <f t="shared" si="32"/>
        <v>Aug-2025</v>
      </c>
      <c r="N676" t="s">
        <v>19</v>
      </c>
    </row>
    <row r="677" spans="1:14" x14ac:dyDescent="0.25">
      <c r="A677" t="s">
        <v>705</v>
      </c>
      <c r="B677" s="1">
        <v>45858</v>
      </c>
      <c r="D677">
        <v>28</v>
      </c>
      <c r="E677" t="s">
        <v>21</v>
      </c>
      <c r="F677" t="s">
        <v>38</v>
      </c>
      <c r="G677" t="s">
        <v>30</v>
      </c>
      <c r="H677">
        <v>2247</v>
      </c>
      <c r="I677">
        <v>3</v>
      </c>
      <c r="J677">
        <v>36</v>
      </c>
      <c r="K677">
        <f t="shared" si="30"/>
        <v>0</v>
      </c>
      <c r="L677" s="4">
        <f t="shared" ca="1" si="31"/>
        <v>8</v>
      </c>
      <c r="M677" t="str">
        <f t="shared" si="32"/>
        <v>Jul-2025</v>
      </c>
      <c r="N677" t="s">
        <v>19</v>
      </c>
    </row>
    <row r="678" spans="1:14" x14ac:dyDescent="0.25">
      <c r="A678" t="s">
        <v>706</v>
      </c>
      <c r="B678" s="1">
        <v>45548</v>
      </c>
      <c r="D678">
        <v>28</v>
      </c>
      <c r="E678" t="s">
        <v>12</v>
      </c>
      <c r="F678" t="s">
        <v>13</v>
      </c>
      <c r="G678" t="s">
        <v>18</v>
      </c>
      <c r="H678">
        <v>10387</v>
      </c>
      <c r="I678">
        <v>13</v>
      </c>
      <c r="J678">
        <v>47</v>
      </c>
      <c r="K678">
        <f t="shared" si="30"/>
        <v>0</v>
      </c>
      <c r="L678" s="4">
        <f t="shared" ca="1" si="31"/>
        <v>19</v>
      </c>
      <c r="M678" t="str">
        <f t="shared" si="32"/>
        <v>Sep-2024</v>
      </c>
      <c r="N678" t="s">
        <v>19</v>
      </c>
    </row>
    <row r="679" spans="1:14" x14ac:dyDescent="0.25">
      <c r="A679" t="s">
        <v>707</v>
      </c>
      <c r="B679" s="1">
        <v>45295</v>
      </c>
      <c r="D679">
        <v>56</v>
      </c>
      <c r="E679" t="s">
        <v>12</v>
      </c>
      <c r="F679" t="s">
        <v>38</v>
      </c>
      <c r="G679" t="s">
        <v>18</v>
      </c>
      <c r="H679">
        <v>17578</v>
      </c>
      <c r="I679">
        <v>22</v>
      </c>
      <c r="J679">
        <v>48</v>
      </c>
      <c r="K679">
        <f t="shared" si="30"/>
        <v>0</v>
      </c>
      <c r="L679" s="4">
        <f t="shared" ca="1" si="31"/>
        <v>27</v>
      </c>
      <c r="M679" t="str">
        <f t="shared" si="32"/>
        <v>Jan-2024</v>
      </c>
      <c r="N679" t="s">
        <v>19</v>
      </c>
    </row>
    <row r="680" spans="1:14" x14ac:dyDescent="0.25">
      <c r="A680" t="s">
        <v>708</v>
      </c>
      <c r="B680" s="1">
        <v>45001</v>
      </c>
      <c r="D680">
        <v>40</v>
      </c>
      <c r="E680" t="s">
        <v>12</v>
      </c>
      <c r="F680" t="s">
        <v>29</v>
      </c>
      <c r="G680" t="s">
        <v>18</v>
      </c>
      <c r="H680">
        <v>25568</v>
      </c>
      <c r="I680">
        <v>32</v>
      </c>
      <c r="J680">
        <v>64</v>
      </c>
      <c r="K680">
        <f t="shared" si="30"/>
        <v>0</v>
      </c>
      <c r="L680" s="4">
        <f t="shared" ca="1" si="31"/>
        <v>37</v>
      </c>
      <c r="M680" t="str">
        <f t="shared" si="32"/>
        <v>Mar-2023</v>
      </c>
      <c r="N680" t="s">
        <v>19</v>
      </c>
    </row>
    <row r="681" spans="1:14" x14ac:dyDescent="0.25">
      <c r="A681" t="s">
        <v>709</v>
      </c>
      <c r="B681" s="1">
        <v>45453</v>
      </c>
      <c r="D681">
        <v>47</v>
      </c>
      <c r="E681" t="s">
        <v>12</v>
      </c>
      <c r="F681" t="s">
        <v>22</v>
      </c>
      <c r="G681" t="s">
        <v>30</v>
      </c>
      <c r="H681">
        <v>11984</v>
      </c>
      <c r="I681">
        <v>16</v>
      </c>
      <c r="J681">
        <v>82</v>
      </c>
      <c r="K681">
        <f t="shared" si="30"/>
        <v>0</v>
      </c>
      <c r="L681" s="4">
        <f t="shared" ca="1" si="31"/>
        <v>22</v>
      </c>
      <c r="M681" t="str">
        <f t="shared" si="32"/>
        <v>Jun-2024</v>
      </c>
      <c r="N681" t="s">
        <v>23</v>
      </c>
    </row>
    <row r="682" spans="1:14" x14ac:dyDescent="0.25">
      <c r="A682" t="s">
        <v>710</v>
      </c>
      <c r="B682" s="1">
        <v>45141</v>
      </c>
      <c r="D682">
        <v>54</v>
      </c>
      <c r="E682" t="s">
        <v>21</v>
      </c>
      <c r="F682" t="s">
        <v>57</v>
      </c>
      <c r="G682" t="s">
        <v>30</v>
      </c>
      <c r="H682">
        <v>20223</v>
      </c>
      <c r="I682">
        <v>27</v>
      </c>
      <c r="J682">
        <v>37</v>
      </c>
      <c r="K682">
        <f t="shared" si="30"/>
        <v>0</v>
      </c>
      <c r="L682" s="4">
        <f t="shared" ca="1" si="31"/>
        <v>32</v>
      </c>
      <c r="M682" t="str">
        <f t="shared" si="32"/>
        <v>Aug-2023</v>
      </c>
      <c r="N682" t="s">
        <v>19</v>
      </c>
    </row>
    <row r="683" spans="1:14" x14ac:dyDescent="0.25">
      <c r="A683" t="s">
        <v>711</v>
      </c>
      <c r="B683" s="1">
        <v>45541</v>
      </c>
      <c r="D683">
        <v>29</v>
      </c>
      <c r="E683" t="s">
        <v>12</v>
      </c>
      <c r="F683" t="s">
        <v>13</v>
      </c>
      <c r="G683" t="s">
        <v>18</v>
      </c>
      <c r="H683">
        <v>11186</v>
      </c>
      <c r="I683">
        <v>14</v>
      </c>
      <c r="J683">
        <v>50</v>
      </c>
      <c r="K683">
        <f t="shared" si="30"/>
        <v>0</v>
      </c>
      <c r="L683" s="4">
        <f t="shared" ca="1" si="31"/>
        <v>19</v>
      </c>
      <c r="M683" t="str">
        <f t="shared" si="32"/>
        <v>Sep-2024</v>
      </c>
      <c r="N683" t="s">
        <v>19</v>
      </c>
    </row>
    <row r="684" spans="1:14" x14ac:dyDescent="0.25">
      <c r="A684" t="s">
        <v>712</v>
      </c>
      <c r="B684" s="1">
        <v>45077</v>
      </c>
      <c r="C684" s="1">
        <v>45317</v>
      </c>
      <c r="D684">
        <v>36</v>
      </c>
      <c r="E684" t="s">
        <v>21</v>
      </c>
      <c r="F684" t="s">
        <v>17</v>
      </c>
      <c r="G684" t="s">
        <v>18</v>
      </c>
      <c r="H684">
        <v>6392</v>
      </c>
      <c r="I684">
        <v>8</v>
      </c>
      <c r="J684">
        <v>58</v>
      </c>
      <c r="K684">
        <f t="shared" si="30"/>
        <v>1</v>
      </c>
      <c r="L684" s="4">
        <f t="shared" ca="1" si="31"/>
        <v>8</v>
      </c>
      <c r="M684" t="str">
        <f t="shared" si="32"/>
        <v>May-2023</v>
      </c>
      <c r="N684" t="s">
        <v>23</v>
      </c>
    </row>
    <row r="685" spans="1:14" x14ac:dyDescent="0.25">
      <c r="A685" t="s">
        <v>713</v>
      </c>
      <c r="B685" s="1">
        <v>45134</v>
      </c>
      <c r="D685">
        <v>38</v>
      </c>
      <c r="E685" t="s">
        <v>12</v>
      </c>
      <c r="F685" t="s">
        <v>47</v>
      </c>
      <c r="G685" t="s">
        <v>18</v>
      </c>
      <c r="H685">
        <v>21573</v>
      </c>
      <c r="I685">
        <v>27</v>
      </c>
      <c r="J685">
        <v>63</v>
      </c>
      <c r="K685">
        <f t="shared" si="30"/>
        <v>0</v>
      </c>
      <c r="L685" s="4">
        <f t="shared" ca="1" si="31"/>
        <v>33</v>
      </c>
      <c r="M685" t="str">
        <f t="shared" si="32"/>
        <v>Jul-2023</v>
      </c>
      <c r="N685" t="s">
        <v>19</v>
      </c>
    </row>
    <row r="686" spans="1:14" x14ac:dyDescent="0.25">
      <c r="A686" t="s">
        <v>714</v>
      </c>
      <c r="B686" s="1">
        <v>45185</v>
      </c>
      <c r="D686">
        <v>19</v>
      </c>
      <c r="E686" t="s">
        <v>21</v>
      </c>
      <c r="F686" t="s">
        <v>17</v>
      </c>
      <c r="G686" t="s">
        <v>30</v>
      </c>
      <c r="H686">
        <v>18725</v>
      </c>
      <c r="I686">
        <v>25</v>
      </c>
      <c r="J686">
        <v>55</v>
      </c>
      <c r="K686">
        <f t="shared" si="30"/>
        <v>0</v>
      </c>
      <c r="L686" s="4">
        <f t="shared" ca="1" si="31"/>
        <v>31</v>
      </c>
      <c r="M686" t="str">
        <f t="shared" si="32"/>
        <v>Sep-2023</v>
      </c>
      <c r="N686" t="s">
        <v>19</v>
      </c>
    </row>
    <row r="687" spans="1:14" x14ac:dyDescent="0.25">
      <c r="A687" t="s">
        <v>715</v>
      </c>
      <c r="B687" s="1">
        <v>45524</v>
      </c>
      <c r="D687">
        <v>55</v>
      </c>
      <c r="E687" t="s">
        <v>12</v>
      </c>
      <c r="F687" t="s">
        <v>27</v>
      </c>
      <c r="G687" t="s">
        <v>30</v>
      </c>
      <c r="H687">
        <v>10486</v>
      </c>
      <c r="I687">
        <v>14</v>
      </c>
      <c r="J687">
        <v>96</v>
      </c>
      <c r="K687">
        <f t="shared" si="30"/>
        <v>0</v>
      </c>
      <c r="L687" s="4">
        <f t="shared" ca="1" si="31"/>
        <v>20</v>
      </c>
      <c r="M687" t="str">
        <f t="shared" si="32"/>
        <v>Aug-2024</v>
      </c>
      <c r="N687" t="s">
        <v>23</v>
      </c>
    </row>
    <row r="688" spans="1:14" x14ac:dyDescent="0.25">
      <c r="A688" t="s">
        <v>716</v>
      </c>
      <c r="B688" s="1">
        <v>45288</v>
      </c>
      <c r="D688">
        <v>60</v>
      </c>
      <c r="E688" t="s">
        <v>12</v>
      </c>
      <c r="F688" t="s">
        <v>38</v>
      </c>
      <c r="G688" t="s">
        <v>18</v>
      </c>
      <c r="H688">
        <v>17578</v>
      </c>
      <c r="I688">
        <v>22</v>
      </c>
      <c r="J688">
        <v>41</v>
      </c>
      <c r="K688">
        <f t="shared" si="30"/>
        <v>0</v>
      </c>
      <c r="L688" s="4">
        <f t="shared" ca="1" si="31"/>
        <v>27</v>
      </c>
      <c r="M688" t="str">
        <f t="shared" si="32"/>
        <v>Dec-2023</v>
      </c>
      <c r="N688" t="s">
        <v>15</v>
      </c>
    </row>
    <row r="689" spans="1:14" x14ac:dyDescent="0.25">
      <c r="A689" t="s">
        <v>717</v>
      </c>
      <c r="B689" s="1">
        <v>45685</v>
      </c>
      <c r="D689">
        <v>46</v>
      </c>
      <c r="E689" t="s">
        <v>12</v>
      </c>
      <c r="F689" t="s">
        <v>27</v>
      </c>
      <c r="G689" t="s">
        <v>30</v>
      </c>
      <c r="H689">
        <v>6741</v>
      </c>
      <c r="I689">
        <v>9</v>
      </c>
      <c r="J689">
        <v>59</v>
      </c>
      <c r="K689">
        <f t="shared" si="30"/>
        <v>0</v>
      </c>
      <c r="L689" s="4">
        <f t="shared" ca="1" si="31"/>
        <v>14</v>
      </c>
      <c r="M689" t="str">
        <f t="shared" si="32"/>
        <v>Jan-2025</v>
      </c>
      <c r="N689" t="s">
        <v>19</v>
      </c>
    </row>
    <row r="690" spans="1:14" x14ac:dyDescent="0.25">
      <c r="A690" t="s">
        <v>718</v>
      </c>
      <c r="B690" s="1">
        <v>45947</v>
      </c>
      <c r="C690" s="1">
        <v>45962</v>
      </c>
      <c r="D690">
        <v>35</v>
      </c>
      <c r="E690" t="s">
        <v>12</v>
      </c>
      <c r="F690" t="s">
        <v>32</v>
      </c>
      <c r="G690" t="s">
        <v>14</v>
      </c>
      <c r="H690">
        <v>699</v>
      </c>
      <c r="I690">
        <v>1</v>
      </c>
      <c r="J690">
        <v>99</v>
      </c>
      <c r="K690">
        <f t="shared" si="30"/>
        <v>1</v>
      </c>
      <c r="L690" s="4">
        <f t="shared" ca="1" si="31"/>
        <v>1</v>
      </c>
      <c r="M690" t="str">
        <f t="shared" si="32"/>
        <v>Oct-2025</v>
      </c>
      <c r="N690" t="s">
        <v>19</v>
      </c>
    </row>
    <row r="691" spans="1:14" x14ac:dyDescent="0.25">
      <c r="A691" t="s">
        <v>719</v>
      </c>
      <c r="B691" s="1">
        <v>45522</v>
      </c>
      <c r="D691">
        <v>57</v>
      </c>
      <c r="E691" t="s">
        <v>12</v>
      </c>
      <c r="F691" t="s">
        <v>32</v>
      </c>
      <c r="G691" t="s">
        <v>18</v>
      </c>
      <c r="H691">
        <v>11186</v>
      </c>
      <c r="I691">
        <v>14</v>
      </c>
      <c r="J691">
        <v>69</v>
      </c>
      <c r="K691">
        <f t="shared" si="30"/>
        <v>0</v>
      </c>
      <c r="L691" s="4">
        <f t="shared" ca="1" si="31"/>
        <v>20</v>
      </c>
      <c r="M691" t="str">
        <f t="shared" si="32"/>
        <v>Aug-2024</v>
      </c>
      <c r="N691" t="s">
        <v>19</v>
      </c>
    </row>
    <row r="692" spans="1:14" x14ac:dyDescent="0.25">
      <c r="A692" t="s">
        <v>720</v>
      </c>
      <c r="B692" s="1">
        <v>45200</v>
      </c>
      <c r="C692" s="1">
        <v>45410</v>
      </c>
      <c r="D692">
        <v>41</v>
      </c>
      <c r="E692" t="s">
        <v>12</v>
      </c>
      <c r="F692" t="s">
        <v>13</v>
      </c>
      <c r="G692" t="s">
        <v>14</v>
      </c>
      <c r="H692">
        <v>4893</v>
      </c>
      <c r="I692">
        <v>7</v>
      </c>
      <c r="J692">
        <v>25</v>
      </c>
      <c r="K692">
        <f t="shared" si="30"/>
        <v>1</v>
      </c>
      <c r="L692" s="4">
        <f t="shared" ca="1" si="31"/>
        <v>7</v>
      </c>
      <c r="M692" t="str">
        <f t="shared" si="32"/>
        <v>Oct-2023</v>
      </c>
      <c r="N692" t="s">
        <v>19</v>
      </c>
    </row>
    <row r="693" spans="1:14" x14ac:dyDescent="0.25">
      <c r="A693" t="s">
        <v>721</v>
      </c>
      <c r="B693" s="1">
        <v>45842</v>
      </c>
      <c r="D693">
        <v>35</v>
      </c>
      <c r="E693" t="s">
        <v>12</v>
      </c>
      <c r="F693" t="s">
        <v>27</v>
      </c>
      <c r="G693" t="s">
        <v>18</v>
      </c>
      <c r="H693">
        <v>3196</v>
      </c>
      <c r="I693">
        <v>4</v>
      </c>
      <c r="J693">
        <v>100</v>
      </c>
      <c r="K693">
        <f t="shared" si="30"/>
        <v>0</v>
      </c>
      <c r="L693" s="4">
        <f t="shared" ca="1" si="31"/>
        <v>9</v>
      </c>
      <c r="M693" t="str">
        <f t="shared" si="32"/>
        <v>Jul-2025</v>
      </c>
      <c r="N693" t="s">
        <v>23</v>
      </c>
    </row>
    <row r="694" spans="1:14" x14ac:dyDescent="0.25">
      <c r="A694" t="s">
        <v>722</v>
      </c>
      <c r="B694" s="1">
        <v>45160</v>
      </c>
      <c r="D694">
        <v>28</v>
      </c>
      <c r="E694" t="s">
        <v>12</v>
      </c>
      <c r="F694" t="s">
        <v>57</v>
      </c>
      <c r="G694" t="s">
        <v>30</v>
      </c>
      <c r="H694">
        <v>19474</v>
      </c>
      <c r="I694">
        <v>26</v>
      </c>
      <c r="J694">
        <v>78</v>
      </c>
      <c r="K694">
        <f t="shared" si="30"/>
        <v>0</v>
      </c>
      <c r="L694" s="4">
        <f t="shared" ca="1" si="31"/>
        <v>32</v>
      </c>
      <c r="M694" t="str">
        <f t="shared" si="32"/>
        <v>Aug-2023</v>
      </c>
      <c r="N694" t="s">
        <v>19</v>
      </c>
    </row>
    <row r="695" spans="1:14" x14ac:dyDescent="0.25">
      <c r="A695" t="s">
        <v>723</v>
      </c>
      <c r="B695" s="1">
        <v>45273</v>
      </c>
      <c r="D695">
        <v>48</v>
      </c>
      <c r="E695" t="s">
        <v>21</v>
      </c>
      <c r="F695" t="s">
        <v>41</v>
      </c>
      <c r="G695" t="s">
        <v>18</v>
      </c>
      <c r="H695">
        <v>17578</v>
      </c>
      <c r="I695">
        <v>22</v>
      </c>
      <c r="J695">
        <v>31</v>
      </c>
      <c r="K695">
        <f t="shared" si="30"/>
        <v>0</v>
      </c>
      <c r="L695" s="4">
        <f t="shared" ca="1" si="31"/>
        <v>28</v>
      </c>
      <c r="M695" t="str">
        <f t="shared" si="32"/>
        <v>Dec-2023</v>
      </c>
      <c r="N695" t="s">
        <v>23</v>
      </c>
    </row>
    <row r="696" spans="1:14" x14ac:dyDescent="0.25">
      <c r="A696" t="s">
        <v>724</v>
      </c>
      <c r="B696" s="1">
        <v>45897</v>
      </c>
      <c r="D696">
        <v>18</v>
      </c>
      <c r="E696" t="s">
        <v>21</v>
      </c>
      <c r="F696" t="s">
        <v>57</v>
      </c>
      <c r="G696" t="s">
        <v>30</v>
      </c>
      <c r="H696">
        <v>1498</v>
      </c>
      <c r="I696">
        <v>2</v>
      </c>
      <c r="J696">
        <v>88</v>
      </c>
      <c r="K696">
        <f t="shared" si="30"/>
        <v>0</v>
      </c>
      <c r="L696" s="4">
        <f t="shared" ca="1" si="31"/>
        <v>7</v>
      </c>
      <c r="M696" t="str">
        <f t="shared" si="32"/>
        <v>Aug-2025</v>
      </c>
      <c r="N696" t="s">
        <v>19</v>
      </c>
    </row>
    <row r="697" spans="1:14" x14ac:dyDescent="0.25">
      <c r="A697" t="s">
        <v>725</v>
      </c>
      <c r="B697" s="1">
        <v>45421</v>
      </c>
      <c r="D697">
        <v>54</v>
      </c>
      <c r="E697" t="s">
        <v>12</v>
      </c>
      <c r="F697" t="s">
        <v>13</v>
      </c>
      <c r="G697" t="s">
        <v>18</v>
      </c>
      <c r="H697">
        <v>14382</v>
      </c>
      <c r="I697">
        <v>18</v>
      </c>
      <c r="J697">
        <v>57</v>
      </c>
      <c r="K697">
        <f t="shared" si="30"/>
        <v>0</v>
      </c>
      <c r="L697" s="4">
        <f t="shared" ca="1" si="31"/>
        <v>23</v>
      </c>
      <c r="M697" t="str">
        <f t="shared" si="32"/>
        <v>May-2024</v>
      </c>
      <c r="N697" t="s">
        <v>23</v>
      </c>
    </row>
    <row r="698" spans="1:14" x14ac:dyDescent="0.25">
      <c r="A698" t="s">
        <v>726</v>
      </c>
      <c r="B698" s="1">
        <v>45455</v>
      </c>
      <c r="D698">
        <v>23</v>
      </c>
      <c r="E698" t="s">
        <v>12</v>
      </c>
      <c r="F698" t="s">
        <v>47</v>
      </c>
      <c r="G698" t="s">
        <v>14</v>
      </c>
      <c r="H698">
        <v>11184</v>
      </c>
      <c r="I698">
        <v>16</v>
      </c>
      <c r="J698">
        <v>47</v>
      </c>
      <c r="K698">
        <f t="shared" si="30"/>
        <v>0</v>
      </c>
      <c r="L698" s="4">
        <f t="shared" ca="1" si="31"/>
        <v>22</v>
      </c>
      <c r="M698" t="str">
        <f t="shared" si="32"/>
        <v>Jun-2024</v>
      </c>
      <c r="N698" t="s">
        <v>23</v>
      </c>
    </row>
    <row r="699" spans="1:14" x14ac:dyDescent="0.25">
      <c r="A699" t="s">
        <v>727</v>
      </c>
      <c r="B699" s="1">
        <v>45631</v>
      </c>
      <c r="C699" s="1">
        <v>45961</v>
      </c>
      <c r="D699">
        <v>33</v>
      </c>
      <c r="E699" t="s">
        <v>12</v>
      </c>
      <c r="F699" t="s">
        <v>13</v>
      </c>
      <c r="G699" t="s">
        <v>30</v>
      </c>
      <c r="H699">
        <v>8239</v>
      </c>
      <c r="I699">
        <v>11</v>
      </c>
      <c r="J699">
        <v>26</v>
      </c>
      <c r="K699">
        <f t="shared" si="30"/>
        <v>1</v>
      </c>
      <c r="L699" s="4">
        <f t="shared" ca="1" si="31"/>
        <v>11</v>
      </c>
      <c r="M699" t="str">
        <f t="shared" si="32"/>
        <v>Dec-2024</v>
      </c>
      <c r="N699" t="s">
        <v>25</v>
      </c>
    </row>
    <row r="700" spans="1:14" x14ac:dyDescent="0.25">
      <c r="A700" t="s">
        <v>728</v>
      </c>
      <c r="B700" s="1">
        <v>45492</v>
      </c>
      <c r="D700">
        <v>28</v>
      </c>
      <c r="E700" t="s">
        <v>21</v>
      </c>
      <c r="F700" t="s">
        <v>47</v>
      </c>
      <c r="G700" t="s">
        <v>30</v>
      </c>
      <c r="H700">
        <v>11235</v>
      </c>
      <c r="I700">
        <v>15</v>
      </c>
      <c r="J700">
        <v>86</v>
      </c>
      <c r="K700">
        <f t="shared" si="30"/>
        <v>0</v>
      </c>
      <c r="L700" s="4">
        <f t="shared" ca="1" si="31"/>
        <v>21</v>
      </c>
      <c r="M700" t="str">
        <f t="shared" si="32"/>
        <v>Jul-2024</v>
      </c>
      <c r="N700" t="s">
        <v>19</v>
      </c>
    </row>
    <row r="701" spans="1:14" x14ac:dyDescent="0.25">
      <c r="A701" t="s">
        <v>729</v>
      </c>
      <c r="B701" s="1">
        <v>45798</v>
      </c>
      <c r="D701">
        <v>18</v>
      </c>
      <c r="E701" t="s">
        <v>15</v>
      </c>
      <c r="F701" t="s">
        <v>13</v>
      </c>
      <c r="G701" t="s">
        <v>18</v>
      </c>
      <c r="H701">
        <v>3995</v>
      </c>
      <c r="I701">
        <v>5</v>
      </c>
      <c r="J701">
        <v>75</v>
      </c>
      <c r="K701">
        <f t="shared" si="30"/>
        <v>0</v>
      </c>
      <c r="L701" s="4">
        <f t="shared" ca="1" si="31"/>
        <v>10</v>
      </c>
      <c r="M701" t="str">
        <f t="shared" si="32"/>
        <v>May-2025</v>
      </c>
      <c r="N701" t="s">
        <v>19</v>
      </c>
    </row>
    <row r="702" spans="1:14" x14ac:dyDescent="0.25">
      <c r="A702" t="s">
        <v>730</v>
      </c>
      <c r="B702" s="1">
        <v>45128</v>
      </c>
      <c r="D702">
        <v>52</v>
      </c>
      <c r="E702" t="s">
        <v>12</v>
      </c>
      <c r="F702" t="s">
        <v>38</v>
      </c>
      <c r="G702" t="s">
        <v>30</v>
      </c>
      <c r="H702">
        <v>20223</v>
      </c>
      <c r="I702">
        <v>27</v>
      </c>
      <c r="J702">
        <v>72</v>
      </c>
      <c r="K702">
        <f t="shared" si="30"/>
        <v>0</v>
      </c>
      <c r="L702" s="4">
        <f t="shared" ca="1" si="31"/>
        <v>33</v>
      </c>
      <c r="M702" t="str">
        <f t="shared" si="32"/>
        <v>Jul-2023</v>
      </c>
      <c r="N702" t="s">
        <v>23</v>
      </c>
    </row>
    <row r="703" spans="1:14" x14ac:dyDescent="0.25">
      <c r="A703" t="s">
        <v>731</v>
      </c>
      <c r="B703" s="1">
        <v>45706</v>
      </c>
      <c r="D703">
        <v>28</v>
      </c>
      <c r="E703" t="s">
        <v>12</v>
      </c>
      <c r="F703" t="s">
        <v>38</v>
      </c>
      <c r="G703" t="s">
        <v>18</v>
      </c>
      <c r="H703">
        <v>6392</v>
      </c>
      <c r="I703">
        <v>8</v>
      </c>
      <c r="J703">
        <v>40</v>
      </c>
      <c r="K703">
        <f t="shared" si="30"/>
        <v>0</v>
      </c>
      <c r="L703" s="4">
        <f t="shared" ca="1" si="31"/>
        <v>14</v>
      </c>
      <c r="M703" t="str">
        <f t="shared" si="32"/>
        <v>Feb-2025</v>
      </c>
      <c r="N703" t="s">
        <v>19</v>
      </c>
    </row>
    <row r="704" spans="1:14" x14ac:dyDescent="0.25">
      <c r="A704" t="s">
        <v>732</v>
      </c>
      <c r="B704" s="1">
        <v>45746</v>
      </c>
      <c r="C704" s="1">
        <v>45896</v>
      </c>
      <c r="D704">
        <v>47</v>
      </c>
      <c r="E704" t="s">
        <v>21</v>
      </c>
      <c r="F704" t="s">
        <v>27</v>
      </c>
      <c r="G704" t="s">
        <v>18</v>
      </c>
      <c r="H704">
        <v>3995</v>
      </c>
      <c r="I704">
        <v>5</v>
      </c>
      <c r="J704">
        <v>33</v>
      </c>
      <c r="K704">
        <f t="shared" si="30"/>
        <v>1</v>
      </c>
      <c r="L704" s="4">
        <f t="shared" ca="1" si="31"/>
        <v>5</v>
      </c>
      <c r="M704" t="str">
        <f t="shared" si="32"/>
        <v>Mar-2025</v>
      </c>
      <c r="N704" t="s">
        <v>23</v>
      </c>
    </row>
    <row r="705" spans="1:14" x14ac:dyDescent="0.25">
      <c r="A705" t="s">
        <v>733</v>
      </c>
      <c r="B705" s="1">
        <v>45360</v>
      </c>
      <c r="D705">
        <v>19</v>
      </c>
      <c r="E705" t="s">
        <v>12</v>
      </c>
      <c r="F705" t="s">
        <v>27</v>
      </c>
      <c r="G705" t="s">
        <v>30</v>
      </c>
      <c r="H705">
        <v>14980</v>
      </c>
      <c r="I705">
        <v>20</v>
      </c>
      <c r="J705">
        <v>61</v>
      </c>
      <c r="K705">
        <f t="shared" si="30"/>
        <v>0</v>
      </c>
      <c r="L705" s="4">
        <f t="shared" ca="1" si="31"/>
        <v>25</v>
      </c>
      <c r="M705" t="str">
        <f t="shared" si="32"/>
        <v>Mar-2024</v>
      </c>
      <c r="N705" t="s">
        <v>19</v>
      </c>
    </row>
    <row r="706" spans="1:14" x14ac:dyDescent="0.25">
      <c r="A706" t="s">
        <v>734</v>
      </c>
      <c r="B706" s="1">
        <v>45783</v>
      </c>
      <c r="C706" s="1">
        <v>45933</v>
      </c>
      <c r="D706">
        <v>41</v>
      </c>
      <c r="E706" t="s">
        <v>21</v>
      </c>
      <c r="F706" t="s">
        <v>29</v>
      </c>
      <c r="G706" t="s">
        <v>18</v>
      </c>
      <c r="H706">
        <v>3995</v>
      </c>
      <c r="I706">
        <v>5</v>
      </c>
      <c r="J706">
        <v>62</v>
      </c>
      <c r="K706">
        <f t="shared" si="30"/>
        <v>1</v>
      </c>
      <c r="L706" s="4">
        <f t="shared" ca="1" si="31"/>
        <v>5</v>
      </c>
      <c r="M706" t="str">
        <f t="shared" si="32"/>
        <v>May-2025</v>
      </c>
      <c r="N706" t="s">
        <v>23</v>
      </c>
    </row>
    <row r="707" spans="1:14" x14ac:dyDescent="0.25">
      <c r="A707" t="s">
        <v>735</v>
      </c>
      <c r="B707" s="1">
        <v>45650</v>
      </c>
      <c r="D707">
        <v>54</v>
      </c>
      <c r="E707" t="s">
        <v>21</v>
      </c>
      <c r="F707" t="s">
        <v>17</v>
      </c>
      <c r="G707" t="s">
        <v>18</v>
      </c>
      <c r="H707">
        <v>7990</v>
      </c>
      <c r="I707">
        <v>10</v>
      </c>
      <c r="J707">
        <v>38</v>
      </c>
      <c r="K707">
        <f t="shared" ref="K707:K770" si="33">IF(ISBLANK(C707), 0, 1)</f>
        <v>0</v>
      </c>
      <c r="L707" s="4">
        <f t="shared" ref="L707:L770" ca="1" si="34">ROUNDUP(DATEDIF(B707, IF(ISBLANK(C707), TODAY(), C707), "d")/30, 0)</f>
        <v>15</v>
      </c>
      <c r="M707" t="str">
        <f t="shared" ref="M707:M770" si="35">TEXT(B707, "mmm-yyyy")</f>
        <v>Dec-2024</v>
      </c>
      <c r="N707" t="s">
        <v>23</v>
      </c>
    </row>
    <row r="708" spans="1:14" x14ac:dyDescent="0.25">
      <c r="A708" t="s">
        <v>736</v>
      </c>
      <c r="B708" s="1">
        <v>45442</v>
      </c>
      <c r="D708">
        <v>28</v>
      </c>
      <c r="E708" t="s">
        <v>21</v>
      </c>
      <c r="F708" t="s">
        <v>17</v>
      </c>
      <c r="G708" t="s">
        <v>30</v>
      </c>
      <c r="H708">
        <v>12733</v>
      </c>
      <c r="I708">
        <v>17</v>
      </c>
      <c r="J708">
        <v>29</v>
      </c>
      <c r="K708">
        <f t="shared" si="33"/>
        <v>0</v>
      </c>
      <c r="L708" s="4">
        <f t="shared" ca="1" si="34"/>
        <v>22</v>
      </c>
      <c r="M708" t="str">
        <f t="shared" si="35"/>
        <v>May-2024</v>
      </c>
      <c r="N708" t="s">
        <v>25</v>
      </c>
    </row>
    <row r="709" spans="1:14" x14ac:dyDescent="0.25">
      <c r="A709" t="s">
        <v>737</v>
      </c>
      <c r="B709" s="1">
        <v>45352</v>
      </c>
      <c r="D709">
        <v>34</v>
      </c>
      <c r="E709" t="s">
        <v>12</v>
      </c>
      <c r="F709" t="s">
        <v>32</v>
      </c>
      <c r="G709" t="s">
        <v>18</v>
      </c>
      <c r="H709">
        <v>15980</v>
      </c>
      <c r="I709">
        <v>20</v>
      </c>
      <c r="J709">
        <v>56</v>
      </c>
      <c r="K709">
        <f t="shared" si="33"/>
        <v>0</v>
      </c>
      <c r="L709" s="4">
        <f t="shared" ca="1" si="34"/>
        <v>25</v>
      </c>
      <c r="M709" t="str">
        <f t="shared" si="35"/>
        <v>Mar-2024</v>
      </c>
      <c r="N709" t="s">
        <v>15</v>
      </c>
    </row>
    <row r="710" spans="1:14" x14ac:dyDescent="0.25">
      <c r="A710" t="s">
        <v>738</v>
      </c>
      <c r="B710" s="1">
        <v>45124</v>
      </c>
      <c r="D710">
        <v>26</v>
      </c>
      <c r="E710" t="s">
        <v>12</v>
      </c>
      <c r="F710" t="s">
        <v>27</v>
      </c>
      <c r="G710" t="s">
        <v>18</v>
      </c>
      <c r="H710">
        <v>21573</v>
      </c>
      <c r="I710">
        <v>27</v>
      </c>
      <c r="J710">
        <v>94</v>
      </c>
      <c r="K710">
        <f t="shared" si="33"/>
        <v>0</v>
      </c>
      <c r="L710" s="4">
        <f t="shared" ca="1" si="34"/>
        <v>33</v>
      </c>
      <c r="M710" t="str">
        <f t="shared" si="35"/>
        <v>Jul-2023</v>
      </c>
      <c r="N710" t="s">
        <v>19</v>
      </c>
    </row>
    <row r="711" spans="1:14" x14ac:dyDescent="0.25">
      <c r="A711" t="s">
        <v>739</v>
      </c>
      <c r="B711" s="1">
        <v>45808</v>
      </c>
      <c r="D711">
        <v>25</v>
      </c>
      <c r="E711" t="s">
        <v>15</v>
      </c>
      <c r="F711" t="s">
        <v>29</v>
      </c>
      <c r="G711" t="s">
        <v>18</v>
      </c>
      <c r="H711">
        <v>3995</v>
      </c>
      <c r="I711">
        <v>5</v>
      </c>
      <c r="J711">
        <v>47</v>
      </c>
      <c r="K711">
        <f t="shared" si="33"/>
        <v>0</v>
      </c>
      <c r="L711" s="4">
        <f t="shared" ca="1" si="34"/>
        <v>10</v>
      </c>
      <c r="M711" t="str">
        <f t="shared" si="35"/>
        <v>May-2025</v>
      </c>
      <c r="N711" t="s">
        <v>23</v>
      </c>
    </row>
    <row r="712" spans="1:14" x14ac:dyDescent="0.25">
      <c r="A712" t="s">
        <v>740</v>
      </c>
      <c r="B712" s="1">
        <v>45071</v>
      </c>
      <c r="D712">
        <v>33</v>
      </c>
      <c r="E712" t="s">
        <v>21</v>
      </c>
      <c r="F712" t="s">
        <v>57</v>
      </c>
      <c r="G712" t="s">
        <v>14</v>
      </c>
      <c r="H712">
        <v>20271</v>
      </c>
      <c r="I712">
        <v>29</v>
      </c>
      <c r="J712">
        <v>62</v>
      </c>
      <c r="K712">
        <f t="shared" si="33"/>
        <v>0</v>
      </c>
      <c r="L712" s="4">
        <f t="shared" ca="1" si="34"/>
        <v>35</v>
      </c>
      <c r="M712" t="str">
        <f t="shared" si="35"/>
        <v>May-2023</v>
      </c>
      <c r="N712" t="s">
        <v>19</v>
      </c>
    </row>
    <row r="713" spans="1:14" x14ac:dyDescent="0.25">
      <c r="A713" t="s">
        <v>741</v>
      </c>
      <c r="B713" s="1">
        <v>45925</v>
      </c>
      <c r="D713">
        <v>53</v>
      </c>
      <c r="E713" t="s">
        <v>12</v>
      </c>
      <c r="F713" t="s">
        <v>13</v>
      </c>
      <c r="G713" t="s">
        <v>14</v>
      </c>
      <c r="H713">
        <v>699</v>
      </c>
      <c r="I713">
        <v>1</v>
      </c>
      <c r="J713">
        <v>33</v>
      </c>
      <c r="K713">
        <f t="shared" si="33"/>
        <v>0</v>
      </c>
      <c r="L713" s="4">
        <f t="shared" ca="1" si="34"/>
        <v>6</v>
      </c>
      <c r="M713" t="str">
        <f t="shared" si="35"/>
        <v>Sep-2025</v>
      </c>
      <c r="N713" t="s">
        <v>19</v>
      </c>
    </row>
    <row r="714" spans="1:14" x14ac:dyDescent="0.25">
      <c r="A714" t="s">
        <v>742</v>
      </c>
      <c r="B714" s="1">
        <v>45508</v>
      </c>
      <c r="D714">
        <v>52</v>
      </c>
      <c r="E714" t="s">
        <v>12</v>
      </c>
      <c r="F714" t="s">
        <v>29</v>
      </c>
      <c r="G714" t="s">
        <v>30</v>
      </c>
      <c r="H714">
        <v>11235</v>
      </c>
      <c r="I714">
        <v>15</v>
      </c>
      <c r="J714">
        <v>64</v>
      </c>
      <c r="K714">
        <f t="shared" si="33"/>
        <v>0</v>
      </c>
      <c r="L714" s="4">
        <f t="shared" ca="1" si="34"/>
        <v>20</v>
      </c>
      <c r="M714" t="str">
        <f t="shared" si="35"/>
        <v>Aug-2024</v>
      </c>
      <c r="N714" t="s">
        <v>19</v>
      </c>
    </row>
    <row r="715" spans="1:14" x14ac:dyDescent="0.25">
      <c r="A715" t="s">
        <v>743</v>
      </c>
      <c r="B715" s="1">
        <v>45654</v>
      </c>
      <c r="D715">
        <v>41</v>
      </c>
      <c r="E715" t="s">
        <v>12</v>
      </c>
      <c r="F715" t="s">
        <v>29</v>
      </c>
      <c r="G715" t="s">
        <v>18</v>
      </c>
      <c r="H715">
        <v>7990</v>
      </c>
      <c r="I715">
        <v>10</v>
      </c>
      <c r="J715">
        <v>85</v>
      </c>
      <c r="K715">
        <f t="shared" si="33"/>
        <v>0</v>
      </c>
      <c r="L715" s="4">
        <f t="shared" ca="1" si="34"/>
        <v>15</v>
      </c>
      <c r="M715" t="str">
        <f t="shared" si="35"/>
        <v>Dec-2024</v>
      </c>
      <c r="N715" t="s">
        <v>23</v>
      </c>
    </row>
    <row r="716" spans="1:14" x14ac:dyDescent="0.25">
      <c r="A716" t="s">
        <v>744</v>
      </c>
      <c r="B716" s="1">
        <v>45236</v>
      </c>
      <c r="D716">
        <v>33</v>
      </c>
      <c r="E716" t="s">
        <v>12</v>
      </c>
      <c r="F716" t="s">
        <v>22</v>
      </c>
      <c r="G716" t="s">
        <v>18</v>
      </c>
      <c r="H716">
        <v>19176</v>
      </c>
      <c r="I716">
        <v>24</v>
      </c>
      <c r="J716">
        <v>77</v>
      </c>
      <c r="K716">
        <f t="shared" si="33"/>
        <v>0</v>
      </c>
      <c r="L716" s="4">
        <f t="shared" ca="1" si="34"/>
        <v>29</v>
      </c>
      <c r="M716" t="str">
        <f t="shared" si="35"/>
        <v>Nov-2023</v>
      </c>
      <c r="N716" t="s">
        <v>19</v>
      </c>
    </row>
    <row r="717" spans="1:14" x14ac:dyDescent="0.25">
      <c r="A717" t="s">
        <v>745</v>
      </c>
      <c r="B717" s="1">
        <v>45329</v>
      </c>
      <c r="C717" s="1">
        <v>45569</v>
      </c>
      <c r="D717">
        <v>34</v>
      </c>
      <c r="E717" t="s">
        <v>21</v>
      </c>
      <c r="F717" t="s">
        <v>57</v>
      </c>
      <c r="G717" t="s">
        <v>18</v>
      </c>
      <c r="H717">
        <v>6392</v>
      </c>
      <c r="I717">
        <v>8</v>
      </c>
      <c r="J717">
        <v>64</v>
      </c>
      <c r="K717">
        <f t="shared" si="33"/>
        <v>1</v>
      </c>
      <c r="L717" s="4">
        <f t="shared" ca="1" si="34"/>
        <v>8</v>
      </c>
      <c r="M717" t="str">
        <f t="shared" si="35"/>
        <v>Feb-2024</v>
      </c>
      <c r="N717" t="s">
        <v>19</v>
      </c>
    </row>
    <row r="718" spans="1:14" x14ac:dyDescent="0.25">
      <c r="A718" t="s">
        <v>746</v>
      </c>
      <c r="B718" s="1">
        <v>45064</v>
      </c>
      <c r="D718">
        <v>48</v>
      </c>
      <c r="E718" t="s">
        <v>21</v>
      </c>
      <c r="F718" t="s">
        <v>22</v>
      </c>
      <c r="G718" t="s">
        <v>30</v>
      </c>
      <c r="H718">
        <v>21721</v>
      </c>
      <c r="I718">
        <v>29</v>
      </c>
      <c r="J718">
        <v>64</v>
      </c>
      <c r="K718">
        <f t="shared" si="33"/>
        <v>0</v>
      </c>
      <c r="L718" s="4">
        <f t="shared" ca="1" si="34"/>
        <v>35</v>
      </c>
      <c r="M718" t="str">
        <f t="shared" si="35"/>
        <v>May-2023</v>
      </c>
      <c r="N718" t="s">
        <v>19</v>
      </c>
    </row>
    <row r="719" spans="1:14" x14ac:dyDescent="0.25">
      <c r="A719" t="s">
        <v>747</v>
      </c>
      <c r="B719" s="1">
        <v>45310</v>
      </c>
      <c r="D719">
        <v>36</v>
      </c>
      <c r="E719" t="s">
        <v>21</v>
      </c>
      <c r="F719" t="s">
        <v>57</v>
      </c>
      <c r="G719" t="s">
        <v>30</v>
      </c>
      <c r="H719">
        <v>15729</v>
      </c>
      <c r="I719">
        <v>21</v>
      </c>
      <c r="J719">
        <v>71</v>
      </c>
      <c r="K719">
        <f t="shared" si="33"/>
        <v>0</v>
      </c>
      <c r="L719" s="4">
        <f t="shared" ca="1" si="34"/>
        <v>27</v>
      </c>
      <c r="M719" t="str">
        <f t="shared" si="35"/>
        <v>Jan-2024</v>
      </c>
      <c r="N719" t="s">
        <v>23</v>
      </c>
    </row>
    <row r="720" spans="1:14" x14ac:dyDescent="0.25">
      <c r="A720" t="s">
        <v>748</v>
      </c>
      <c r="B720" s="1">
        <v>45526</v>
      </c>
      <c r="D720">
        <v>18</v>
      </c>
      <c r="E720" t="s">
        <v>21</v>
      </c>
      <c r="F720" t="s">
        <v>47</v>
      </c>
      <c r="G720" t="s">
        <v>30</v>
      </c>
      <c r="H720">
        <v>10486</v>
      </c>
      <c r="I720">
        <v>14</v>
      </c>
      <c r="J720">
        <v>81</v>
      </c>
      <c r="K720">
        <f t="shared" si="33"/>
        <v>0</v>
      </c>
      <c r="L720" s="4">
        <f t="shared" ca="1" si="34"/>
        <v>20</v>
      </c>
      <c r="M720" t="str">
        <f t="shared" si="35"/>
        <v>Aug-2024</v>
      </c>
      <c r="N720" t="s">
        <v>19</v>
      </c>
    </row>
    <row r="721" spans="1:14" x14ac:dyDescent="0.25">
      <c r="A721" t="s">
        <v>749</v>
      </c>
      <c r="B721" s="1">
        <v>45196</v>
      </c>
      <c r="D721">
        <v>36</v>
      </c>
      <c r="E721" t="s">
        <v>12</v>
      </c>
      <c r="F721" t="s">
        <v>29</v>
      </c>
      <c r="G721" t="s">
        <v>18</v>
      </c>
      <c r="H721">
        <v>19975</v>
      </c>
      <c r="I721">
        <v>25</v>
      </c>
      <c r="J721">
        <v>59</v>
      </c>
      <c r="K721">
        <f t="shared" si="33"/>
        <v>0</v>
      </c>
      <c r="L721" s="4">
        <f t="shared" ca="1" si="34"/>
        <v>31</v>
      </c>
      <c r="M721" t="str">
        <f t="shared" si="35"/>
        <v>Sep-2023</v>
      </c>
      <c r="N721" t="s">
        <v>19</v>
      </c>
    </row>
    <row r="722" spans="1:14" x14ac:dyDescent="0.25">
      <c r="A722" t="s">
        <v>750</v>
      </c>
      <c r="B722" s="1">
        <v>45073</v>
      </c>
      <c r="D722">
        <v>31</v>
      </c>
      <c r="E722" t="s">
        <v>21</v>
      </c>
      <c r="F722" t="s">
        <v>13</v>
      </c>
      <c r="G722" t="s">
        <v>18</v>
      </c>
      <c r="H722">
        <v>23171</v>
      </c>
      <c r="I722">
        <v>29</v>
      </c>
      <c r="J722">
        <v>87</v>
      </c>
      <c r="K722">
        <f t="shared" si="33"/>
        <v>0</v>
      </c>
      <c r="L722" s="4">
        <f t="shared" ca="1" si="34"/>
        <v>35</v>
      </c>
      <c r="M722" t="str">
        <f t="shared" si="35"/>
        <v>May-2023</v>
      </c>
      <c r="N722" t="s">
        <v>19</v>
      </c>
    </row>
    <row r="723" spans="1:14" x14ac:dyDescent="0.25">
      <c r="A723" t="s">
        <v>751</v>
      </c>
      <c r="B723" s="1">
        <v>45463</v>
      </c>
      <c r="D723">
        <v>40</v>
      </c>
      <c r="E723" t="s">
        <v>12</v>
      </c>
      <c r="F723" t="s">
        <v>47</v>
      </c>
      <c r="G723" t="s">
        <v>14</v>
      </c>
      <c r="H723">
        <v>11184</v>
      </c>
      <c r="I723">
        <v>16</v>
      </c>
      <c r="J723">
        <v>69</v>
      </c>
      <c r="K723">
        <f t="shared" si="33"/>
        <v>0</v>
      </c>
      <c r="L723" s="4">
        <f t="shared" ca="1" si="34"/>
        <v>22</v>
      </c>
      <c r="M723" t="str">
        <f t="shared" si="35"/>
        <v>Jun-2024</v>
      </c>
      <c r="N723" t="s">
        <v>19</v>
      </c>
    </row>
    <row r="724" spans="1:14" x14ac:dyDescent="0.25">
      <c r="A724" t="s">
        <v>752</v>
      </c>
      <c r="B724" s="1">
        <v>45548</v>
      </c>
      <c r="D724">
        <v>43</v>
      </c>
      <c r="E724" t="s">
        <v>12</v>
      </c>
      <c r="F724" t="s">
        <v>38</v>
      </c>
      <c r="G724" t="s">
        <v>18</v>
      </c>
      <c r="H724">
        <v>10387</v>
      </c>
      <c r="I724">
        <v>13</v>
      </c>
      <c r="J724">
        <v>49</v>
      </c>
      <c r="K724">
        <f t="shared" si="33"/>
        <v>0</v>
      </c>
      <c r="L724" s="4">
        <f t="shared" ca="1" si="34"/>
        <v>19</v>
      </c>
      <c r="M724" t="str">
        <f t="shared" si="35"/>
        <v>Sep-2024</v>
      </c>
      <c r="N724" t="s">
        <v>19</v>
      </c>
    </row>
    <row r="725" spans="1:14" x14ac:dyDescent="0.25">
      <c r="A725" t="s">
        <v>753</v>
      </c>
      <c r="B725" s="1">
        <v>45267</v>
      </c>
      <c r="D725">
        <v>29</v>
      </c>
      <c r="E725" t="s">
        <v>12</v>
      </c>
      <c r="F725" t="s">
        <v>47</v>
      </c>
      <c r="G725" t="s">
        <v>30</v>
      </c>
      <c r="H725">
        <v>17227</v>
      </c>
      <c r="I725">
        <v>23</v>
      </c>
      <c r="J725">
        <v>64</v>
      </c>
      <c r="K725">
        <f t="shared" si="33"/>
        <v>0</v>
      </c>
      <c r="L725" s="4">
        <f t="shared" ca="1" si="34"/>
        <v>28</v>
      </c>
      <c r="M725" t="str">
        <f t="shared" si="35"/>
        <v>Dec-2023</v>
      </c>
      <c r="N725" t="s">
        <v>15</v>
      </c>
    </row>
    <row r="726" spans="1:14" x14ac:dyDescent="0.25">
      <c r="A726" t="s">
        <v>754</v>
      </c>
      <c r="B726" s="1">
        <v>44996</v>
      </c>
      <c r="D726">
        <v>50</v>
      </c>
      <c r="E726" t="s">
        <v>12</v>
      </c>
      <c r="F726" t="s">
        <v>32</v>
      </c>
      <c r="G726" t="s">
        <v>18</v>
      </c>
      <c r="H726">
        <v>25568</v>
      </c>
      <c r="I726">
        <v>32</v>
      </c>
      <c r="J726">
        <v>47</v>
      </c>
      <c r="K726">
        <f t="shared" si="33"/>
        <v>0</v>
      </c>
      <c r="L726" s="4">
        <f t="shared" ca="1" si="34"/>
        <v>37</v>
      </c>
      <c r="M726" t="str">
        <f t="shared" si="35"/>
        <v>Mar-2023</v>
      </c>
      <c r="N726" t="s">
        <v>19</v>
      </c>
    </row>
    <row r="727" spans="1:14" x14ac:dyDescent="0.25">
      <c r="A727" t="s">
        <v>755</v>
      </c>
      <c r="B727" s="1">
        <v>45337</v>
      </c>
      <c r="D727">
        <v>19</v>
      </c>
      <c r="E727" t="s">
        <v>12</v>
      </c>
      <c r="F727" t="s">
        <v>47</v>
      </c>
      <c r="G727" t="s">
        <v>30</v>
      </c>
      <c r="H727">
        <v>14980</v>
      </c>
      <c r="I727">
        <v>20</v>
      </c>
      <c r="J727">
        <v>37</v>
      </c>
      <c r="K727">
        <f t="shared" si="33"/>
        <v>0</v>
      </c>
      <c r="L727" s="4">
        <f t="shared" ca="1" si="34"/>
        <v>26</v>
      </c>
      <c r="M727" t="str">
        <f t="shared" si="35"/>
        <v>Feb-2024</v>
      </c>
      <c r="N727" t="s">
        <v>19</v>
      </c>
    </row>
    <row r="728" spans="1:14" x14ac:dyDescent="0.25">
      <c r="A728" t="s">
        <v>756</v>
      </c>
      <c r="B728" s="1">
        <v>45489</v>
      </c>
      <c r="D728">
        <v>20</v>
      </c>
      <c r="E728" t="s">
        <v>21</v>
      </c>
      <c r="F728" t="s">
        <v>32</v>
      </c>
      <c r="G728" t="s">
        <v>30</v>
      </c>
      <c r="H728">
        <v>11235</v>
      </c>
      <c r="I728">
        <v>15</v>
      </c>
      <c r="J728">
        <v>56</v>
      </c>
      <c r="K728">
        <f t="shared" si="33"/>
        <v>0</v>
      </c>
      <c r="L728" s="4">
        <f t="shared" ca="1" si="34"/>
        <v>21</v>
      </c>
      <c r="M728" t="str">
        <f t="shared" si="35"/>
        <v>Jul-2024</v>
      </c>
      <c r="N728" t="s">
        <v>19</v>
      </c>
    </row>
    <row r="729" spans="1:14" x14ac:dyDescent="0.25">
      <c r="A729" t="s">
        <v>757</v>
      </c>
      <c r="B729" s="1">
        <v>45615</v>
      </c>
      <c r="D729">
        <v>53</v>
      </c>
      <c r="E729" t="s">
        <v>21</v>
      </c>
      <c r="F729" t="s">
        <v>17</v>
      </c>
      <c r="G729" t="s">
        <v>30</v>
      </c>
      <c r="H729">
        <v>8239</v>
      </c>
      <c r="I729">
        <v>11</v>
      </c>
      <c r="J729">
        <v>81</v>
      </c>
      <c r="K729">
        <f t="shared" si="33"/>
        <v>0</v>
      </c>
      <c r="L729" s="4">
        <f t="shared" ca="1" si="34"/>
        <v>17</v>
      </c>
      <c r="M729" t="str">
        <f t="shared" si="35"/>
        <v>Nov-2024</v>
      </c>
      <c r="N729" t="s">
        <v>19</v>
      </c>
    </row>
    <row r="730" spans="1:14" x14ac:dyDescent="0.25">
      <c r="A730" t="s">
        <v>758</v>
      </c>
      <c r="B730" s="1">
        <v>45042</v>
      </c>
      <c r="D730">
        <v>20</v>
      </c>
      <c r="E730" t="s">
        <v>12</v>
      </c>
      <c r="F730" t="s">
        <v>47</v>
      </c>
      <c r="G730" t="s">
        <v>30</v>
      </c>
      <c r="H730">
        <v>22470</v>
      </c>
      <c r="I730">
        <v>30</v>
      </c>
      <c r="J730">
        <v>56</v>
      </c>
      <c r="K730">
        <f t="shared" si="33"/>
        <v>0</v>
      </c>
      <c r="L730" s="4">
        <f t="shared" ca="1" si="34"/>
        <v>36</v>
      </c>
      <c r="M730" t="str">
        <f t="shared" si="35"/>
        <v>Apr-2023</v>
      </c>
      <c r="N730" t="s">
        <v>19</v>
      </c>
    </row>
    <row r="731" spans="1:14" x14ac:dyDescent="0.25">
      <c r="A731" t="s">
        <v>759</v>
      </c>
      <c r="B731" s="1">
        <v>45021</v>
      </c>
      <c r="D731">
        <v>54</v>
      </c>
      <c r="E731" t="s">
        <v>12</v>
      </c>
      <c r="F731" t="s">
        <v>29</v>
      </c>
      <c r="G731" t="s">
        <v>18</v>
      </c>
      <c r="H731">
        <v>24769</v>
      </c>
      <c r="I731">
        <v>31</v>
      </c>
      <c r="J731">
        <v>50</v>
      </c>
      <c r="K731">
        <f t="shared" si="33"/>
        <v>0</v>
      </c>
      <c r="L731" s="4">
        <f t="shared" ca="1" si="34"/>
        <v>36</v>
      </c>
      <c r="M731" t="str">
        <f t="shared" si="35"/>
        <v>Apr-2023</v>
      </c>
      <c r="N731" t="s">
        <v>19</v>
      </c>
    </row>
    <row r="732" spans="1:14" x14ac:dyDescent="0.25">
      <c r="A732" t="s">
        <v>760</v>
      </c>
      <c r="B732" s="1">
        <v>44996</v>
      </c>
      <c r="D732">
        <v>46</v>
      </c>
      <c r="E732" t="s">
        <v>12</v>
      </c>
      <c r="F732" t="s">
        <v>41</v>
      </c>
      <c r="G732" t="s">
        <v>14</v>
      </c>
      <c r="H732">
        <v>22368</v>
      </c>
      <c r="I732">
        <v>32</v>
      </c>
      <c r="J732">
        <v>46</v>
      </c>
      <c r="K732">
        <f t="shared" si="33"/>
        <v>0</v>
      </c>
      <c r="L732" s="4">
        <f t="shared" ca="1" si="34"/>
        <v>37</v>
      </c>
      <c r="M732" t="str">
        <f t="shared" si="35"/>
        <v>Mar-2023</v>
      </c>
      <c r="N732" t="s">
        <v>25</v>
      </c>
    </row>
    <row r="733" spans="1:14" x14ac:dyDescent="0.25">
      <c r="A733" t="s">
        <v>761</v>
      </c>
      <c r="B733" s="1">
        <v>45689</v>
      </c>
      <c r="D733">
        <v>43</v>
      </c>
      <c r="E733" t="s">
        <v>21</v>
      </c>
      <c r="F733" t="s">
        <v>38</v>
      </c>
      <c r="G733" t="s">
        <v>18</v>
      </c>
      <c r="H733">
        <v>7191</v>
      </c>
      <c r="I733">
        <v>9</v>
      </c>
      <c r="J733">
        <v>34</v>
      </c>
      <c r="K733">
        <f t="shared" si="33"/>
        <v>0</v>
      </c>
      <c r="L733" s="4">
        <f t="shared" ca="1" si="34"/>
        <v>14</v>
      </c>
      <c r="M733" t="str">
        <f t="shared" si="35"/>
        <v>Feb-2025</v>
      </c>
      <c r="N733" t="s">
        <v>19</v>
      </c>
    </row>
    <row r="734" spans="1:14" x14ac:dyDescent="0.25">
      <c r="A734" t="s">
        <v>762</v>
      </c>
      <c r="B734" s="1">
        <v>45457</v>
      </c>
      <c r="D734">
        <v>37</v>
      </c>
      <c r="E734" t="s">
        <v>21</v>
      </c>
      <c r="F734" t="s">
        <v>13</v>
      </c>
      <c r="G734" t="s">
        <v>18</v>
      </c>
      <c r="H734">
        <v>12784</v>
      </c>
      <c r="I734">
        <v>16</v>
      </c>
      <c r="J734">
        <v>73</v>
      </c>
      <c r="K734">
        <f t="shared" si="33"/>
        <v>0</v>
      </c>
      <c r="L734" s="4">
        <f t="shared" ca="1" si="34"/>
        <v>22</v>
      </c>
      <c r="M734" t="str">
        <f t="shared" si="35"/>
        <v>Jun-2024</v>
      </c>
      <c r="N734" t="s">
        <v>25</v>
      </c>
    </row>
    <row r="735" spans="1:14" x14ac:dyDescent="0.25">
      <c r="A735" t="s">
        <v>763</v>
      </c>
      <c r="B735" s="1">
        <v>45715</v>
      </c>
      <c r="D735">
        <v>29</v>
      </c>
      <c r="E735" t="s">
        <v>12</v>
      </c>
      <c r="F735" t="s">
        <v>22</v>
      </c>
      <c r="G735" t="s">
        <v>30</v>
      </c>
      <c r="H735">
        <v>5992</v>
      </c>
      <c r="I735">
        <v>8</v>
      </c>
      <c r="J735">
        <v>71</v>
      </c>
      <c r="K735">
        <f t="shared" si="33"/>
        <v>0</v>
      </c>
      <c r="L735" s="4">
        <f t="shared" ca="1" si="34"/>
        <v>13</v>
      </c>
      <c r="M735" t="str">
        <f t="shared" si="35"/>
        <v>Feb-2025</v>
      </c>
      <c r="N735" t="s">
        <v>19</v>
      </c>
    </row>
    <row r="736" spans="1:14" x14ac:dyDescent="0.25">
      <c r="A736" t="s">
        <v>764</v>
      </c>
      <c r="B736" s="1">
        <v>44945</v>
      </c>
      <c r="C736" s="1">
        <v>45275</v>
      </c>
      <c r="D736">
        <v>45</v>
      </c>
      <c r="E736" t="s">
        <v>21</v>
      </c>
      <c r="F736" t="s">
        <v>17</v>
      </c>
      <c r="G736" t="s">
        <v>18</v>
      </c>
      <c r="H736">
        <v>8789</v>
      </c>
      <c r="I736">
        <v>11</v>
      </c>
      <c r="J736">
        <v>32</v>
      </c>
      <c r="K736">
        <f t="shared" si="33"/>
        <v>1</v>
      </c>
      <c r="L736" s="4">
        <f t="shared" ca="1" si="34"/>
        <v>11</v>
      </c>
      <c r="M736" t="str">
        <f t="shared" si="35"/>
        <v>Jan-2023</v>
      </c>
      <c r="N736" t="s">
        <v>19</v>
      </c>
    </row>
    <row r="737" spans="1:14" x14ac:dyDescent="0.25">
      <c r="A737" t="s">
        <v>765</v>
      </c>
      <c r="B737" s="1">
        <v>45208</v>
      </c>
      <c r="D737">
        <v>29</v>
      </c>
      <c r="E737" t="s">
        <v>12</v>
      </c>
      <c r="F737" t="s">
        <v>13</v>
      </c>
      <c r="G737" t="s">
        <v>18</v>
      </c>
      <c r="H737">
        <v>19975</v>
      </c>
      <c r="I737">
        <v>25</v>
      </c>
      <c r="J737">
        <v>48</v>
      </c>
      <c r="K737">
        <f t="shared" si="33"/>
        <v>0</v>
      </c>
      <c r="L737" s="4">
        <f t="shared" ca="1" si="34"/>
        <v>30</v>
      </c>
      <c r="M737" t="str">
        <f t="shared" si="35"/>
        <v>Oct-2023</v>
      </c>
      <c r="N737" t="s">
        <v>19</v>
      </c>
    </row>
    <row r="738" spans="1:14" x14ac:dyDescent="0.25">
      <c r="A738" t="s">
        <v>766</v>
      </c>
      <c r="B738" s="1">
        <v>45235</v>
      </c>
      <c r="C738" s="1">
        <v>45595</v>
      </c>
      <c r="D738">
        <v>38</v>
      </c>
      <c r="E738" t="s">
        <v>21</v>
      </c>
      <c r="F738" t="s">
        <v>17</v>
      </c>
      <c r="G738" t="s">
        <v>18</v>
      </c>
      <c r="H738">
        <v>9588</v>
      </c>
      <c r="I738">
        <v>12</v>
      </c>
      <c r="J738">
        <v>100</v>
      </c>
      <c r="K738">
        <f t="shared" si="33"/>
        <v>1</v>
      </c>
      <c r="L738" s="4">
        <f t="shared" ca="1" si="34"/>
        <v>12</v>
      </c>
      <c r="M738" t="str">
        <f t="shared" si="35"/>
        <v>Nov-2023</v>
      </c>
      <c r="N738" t="s">
        <v>19</v>
      </c>
    </row>
    <row r="739" spans="1:14" x14ac:dyDescent="0.25">
      <c r="A739" t="s">
        <v>767</v>
      </c>
      <c r="B739" s="1">
        <v>45314</v>
      </c>
      <c r="D739">
        <v>18</v>
      </c>
      <c r="E739" t="s">
        <v>21</v>
      </c>
      <c r="F739" t="s">
        <v>13</v>
      </c>
      <c r="G739" t="s">
        <v>18</v>
      </c>
      <c r="H739">
        <v>16779</v>
      </c>
      <c r="I739">
        <v>21</v>
      </c>
      <c r="J739">
        <v>63</v>
      </c>
      <c r="K739">
        <f t="shared" si="33"/>
        <v>0</v>
      </c>
      <c r="L739" s="4">
        <f t="shared" ca="1" si="34"/>
        <v>27</v>
      </c>
      <c r="M739" t="str">
        <f t="shared" si="35"/>
        <v>Jan-2024</v>
      </c>
      <c r="N739" t="s">
        <v>25</v>
      </c>
    </row>
    <row r="740" spans="1:14" x14ac:dyDescent="0.25">
      <c r="A740" t="s">
        <v>768</v>
      </c>
      <c r="B740" s="1">
        <v>45120</v>
      </c>
      <c r="C740" s="1">
        <v>45330</v>
      </c>
      <c r="D740">
        <v>41</v>
      </c>
      <c r="E740" t="s">
        <v>12</v>
      </c>
      <c r="F740" t="s">
        <v>22</v>
      </c>
      <c r="G740" t="s">
        <v>18</v>
      </c>
      <c r="H740">
        <v>5593</v>
      </c>
      <c r="I740">
        <v>7</v>
      </c>
      <c r="J740">
        <v>37</v>
      </c>
      <c r="K740">
        <f t="shared" si="33"/>
        <v>1</v>
      </c>
      <c r="L740" s="4">
        <f t="shared" ca="1" si="34"/>
        <v>7</v>
      </c>
      <c r="M740" t="str">
        <f t="shared" si="35"/>
        <v>Jul-2023</v>
      </c>
      <c r="N740" t="s">
        <v>19</v>
      </c>
    </row>
    <row r="741" spans="1:14" x14ac:dyDescent="0.25">
      <c r="A741" t="s">
        <v>769</v>
      </c>
      <c r="B741" s="1">
        <v>45179</v>
      </c>
      <c r="D741">
        <v>50</v>
      </c>
      <c r="E741" t="s">
        <v>12</v>
      </c>
      <c r="F741" t="s">
        <v>13</v>
      </c>
      <c r="G741" t="s">
        <v>30</v>
      </c>
      <c r="H741">
        <v>19474</v>
      </c>
      <c r="I741">
        <v>26</v>
      </c>
      <c r="J741">
        <v>47</v>
      </c>
      <c r="K741">
        <f t="shared" si="33"/>
        <v>0</v>
      </c>
      <c r="L741" s="4">
        <f t="shared" ca="1" si="34"/>
        <v>31</v>
      </c>
      <c r="M741" t="str">
        <f t="shared" si="35"/>
        <v>Sep-2023</v>
      </c>
      <c r="N741" t="s">
        <v>19</v>
      </c>
    </row>
    <row r="742" spans="1:14" x14ac:dyDescent="0.25">
      <c r="A742" t="s">
        <v>770</v>
      </c>
      <c r="B742" s="1">
        <v>45358</v>
      </c>
      <c r="D742">
        <v>30</v>
      </c>
      <c r="E742" t="s">
        <v>21</v>
      </c>
      <c r="F742" t="s">
        <v>41</v>
      </c>
      <c r="G742" t="s">
        <v>18</v>
      </c>
      <c r="H742">
        <v>15980</v>
      </c>
      <c r="I742">
        <v>20</v>
      </c>
      <c r="J742">
        <v>40</v>
      </c>
      <c r="K742">
        <f t="shared" si="33"/>
        <v>0</v>
      </c>
      <c r="L742" s="4">
        <f t="shared" ca="1" si="34"/>
        <v>25</v>
      </c>
      <c r="M742" t="str">
        <f t="shared" si="35"/>
        <v>Mar-2024</v>
      </c>
      <c r="N742" t="s">
        <v>19</v>
      </c>
    </row>
    <row r="743" spans="1:14" x14ac:dyDescent="0.25">
      <c r="A743" t="s">
        <v>771</v>
      </c>
      <c r="B743" s="1">
        <v>45083</v>
      </c>
      <c r="D743">
        <v>37</v>
      </c>
      <c r="E743" t="s">
        <v>21</v>
      </c>
      <c r="F743" t="s">
        <v>32</v>
      </c>
      <c r="G743" t="s">
        <v>18</v>
      </c>
      <c r="H743">
        <v>23171</v>
      </c>
      <c r="I743">
        <v>29</v>
      </c>
      <c r="J743">
        <v>83</v>
      </c>
      <c r="K743">
        <f t="shared" si="33"/>
        <v>0</v>
      </c>
      <c r="L743" s="4">
        <f t="shared" ca="1" si="34"/>
        <v>34</v>
      </c>
      <c r="M743" t="str">
        <f t="shared" si="35"/>
        <v>Jun-2023</v>
      </c>
      <c r="N743" t="s">
        <v>23</v>
      </c>
    </row>
    <row r="744" spans="1:14" x14ac:dyDescent="0.25">
      <c r="A744" t="s">
        <v>772</v>
      </c>
      <c r="B744" s="1">
        <v>45102</v>
      </c>
      <c r="D744">
        <v>46</v>
      </c>
      <c r="E744" t="s">
        <v>12</v>
      </c>
      <c r="F744" t="s">
        <v>32</v>
      </c>
      <c r="G744" t="s">
        <v>14</v>
      </c>
      <c r="H744">
        <v>19572</v>
      </c>
      <c r="I744">
        <v>28</v>
      </c>
      <c r="J744">
        <v>51</v>
      </c>
      <c r="K744">
        <f t="shared" si="33"/>
        <v>0</v>
      </c>
      <c r="L744" s="4">
        <f t="shared" ca="1" si="34"/>
        <v>34</v>
      </c>
      <c r="M744" t="str">
        <f t="shared" si="35"/>
        <v>Jun-2023</v>
      </c>
      <c r="N744" t="s">
        <v>23</v>
      </c>
    </row>
    <row r="745" spans="1:14" x14ac:dyDescent="0.25">
      <c r="A745" t="s">
        <v>773</v>
      </c>
      <c r="B745" s="1">
        <v>45089</v>
      </c>
      <c r="D745">
        <v>34</v>
      </c>
      <c r="E745" t="s">
        <v>21</v>
      </c>
      <c r="F745" t="s">
        <v>32</v>
      </c>
      <c r="G745" t="s">
        <v>14</v>
      </c>
      <c r="H745">
        <v>20271</v>
      </c>
      <c r="I745">
        <v>29</v>
      </c>
      <c r="J745">
        <v>55</v>
      </c>
      <c r="K745">
        <f t="shared" si="33"/>
        <v>0</v>
      </c>
      <c r="L745" s="4">
        <f t="shared" ca="1" si="34"/>
        <v>34</v>
      </c>
      <c r="M745" t="str">
        <f t="shared" si="35"/>
        <v>Jun-2023</v>
      </c>
      <c r="N745" t="s">
        <v>23</v>
      </c>
    </row>
    <row r="746" spans="1:14" x14ac:dyDescent="0.25">
      <c r="A746" t="s">
        <v>774</v>
      </c>
      <c r="B746" s="1">
        <v>45261</v>
      </c>
      <c r="D746">
        <v>53</v>
      </c>
      <c r="E746" t="s">
        <v>21</v>
      </c>
      <c r="F746" t="s">
        <v>57</v>
      </c>
      <c r="G746" t="s">
        <v>18</v>
      </c>
      <c r="H746">
        <v>18377</v>
      </c>
      <c r="I746">
        <v>23</v>
      </c>
      <c r="J746">
        <v>62</v>
      </c>
      <c r="K746">
        <f t="shared" si="33"/>
        <v>0</v>
      </c>
      <c r="L746" s="4">
        <f t="shared" ca="1" si="34"/>
        <v>28</v>
      </c>
      <c r="M746" t="str">
        <f t="shared" si="35"/>
        <v>Dec-2023</v>
      </c>
      <c r="N746" t="s">
        <v>19</v>
      </c>
    </row>
    <row r="747" spans="1:14" x14ac:dyDescent="0.25">
      <c r="A747" t="s">
        <v>775</v>
      </c>
      <c r="B747" s="1">
        <v>45730</v>
      </c>
      <c r="C747" s="1">
        <v>45820</v>
      </c>
      <c r="D747">
        <v>57</v>
      </c>
      <c r="E747" t="s">
        <v>21</v>
      </c>
      <c r="F747" t="s">
        <v>17</v>
      </c>
      <c r="G747" t="s">
        <v>18</v>
      </c>
      <c r="H747">
        <v>2397</v>
      </c>
      <c r="I747">
        <v>3</v>
      </c>
      <c r="J747">
        <v>27</v>
      </c>
      <c r="K747">
        <f t="shared" si="33"/>
        <v>1</v>
      </c>
      <c r="L747" s="4">
        <f t="shared" ca="1" si="34"/>
        <v>3</v>
      </c>
      <c r="M747" t="str">
        <f t="shared" si="35"/>
        <v>Mar-2025</v>
      </c>
      <c r="N747" t="s">
        <v>15</v>
      </c>
    </row>
    <row r="748" spans="1:14" x14ac:dyDescent="0.25">
      <c r="A748" t="s">
        <v>776</v>
      </c>
      <c r="B748" s="1">
        <v>45957</v>
      </c>
      <c r="D748">
        <v>53</v>
      </c>
      <c r="E748" t="s">
        <v>15</v>
      </c>
      <c r="F748" t="s">
        <v>57</v>
      </c>
      <c r="G748" t="s">
        <v>18</v>
      </c>
      <c r="H748">
        <v>799</v>
      </c>
      <c r="I748">
        <v>1</v>
      </c>
      <c r="J748">
        <v>88</v>
      </c>
      <c r="K748">
        <f t="shared" si="33"/>
        <v>0</v>
      </c>
      <c r="L748" s="4">
        <f t="shared" ca="1" si="34"/>
        <v>5</v>
      </c>
      <c r="M748" t="str">
        <f t="shared" si="35"/>
        <v>Oct-2025</v>
      </c>
      <c r="N748" t="s">
        <v>23</v>
      </c>
    </row>
    <row r="749" spans="1:14" x14ac:dyDescent="0.25">
      <c r="A749" t="s">
        <v>777</v>
      </c>
      <c r="B749" s="1">
        <v>45236</v>
      </c>
      <c r="D749">
        <v>41</v>
      </c>
      <c r="E749" t="s">
        <v>12</v>
      </c>
      <c r="F749" t="s">
        <v>41</v>
      </c>
      <c r="G749" t="s">
        <v>18</v>
      </c>
      <c r="H749">
        <v>19176</v>
      </c>
      <c r="I749">
        <v>24</v>
      </c>
      <c r="J749">
        <v>94</v>
      </c>
      <c r="K749">
        <f t="shared" si="33"/>
        <v>0</v>
      </c>
      <c r="L749" s="4">
        <f t="shared" ca="1" si="34"/>
        <v>29</v>
      </c>
      <c r="M749" t="str">
        <f t="shared" si="35"/>
        <v>Nov-2023</v>
      </c>
      <c r="N749" t="s">
        <v>19</v>
      </c>
    </row>
    <row r="750" spans="1:14" x14ac:dyDescent="0.25">
      <c r="A750" t="s">
        <v>778</v>
      </c>
      <c r="B750" s="1">
        <v>44987</v>
      </c>
      <c r="D750">
        <v>50</v>
      </c>
      <c r="E750" t="s">
        <v>12</v>
      </c>
      <c r="F750" t="s">
        <v>13</v>
      </c>
      <c r="G750" t="s">
        <v>18</v>
      </c>
      <c r="H750">
        <v>25568</v>
      </c>
      <c r="I750">
        <v>32</v>
      </c>
      <c r="J750">
        <v>66</v>
      </c>
      <c r="K750">
        <f t="shared" si="33"/>
        <v>0</v>
      </c>
      <c r="L750" s="4">
        <f t="shared" ca="1" si="34"/>
        <v>37</v>
      </c>
      <c r="M750" t="str">
        <f t="shared" si="35"/>
        <v>Mar-2023</v>
      </c>
      <c r="N750" t="s">
        <v>19</v>
      </c>
    </row>
    <row r="751" spans="1:14" x14ac:dyDescent="0.25">
      <c r="A751" t="s">
        <v>779</v>
      </c>
      <c r="B751" s="1">
        <v>44927</v>
      </c>
      <c r="D751">
        <v>32</v>
      </c>
      <c r="E751" t="s">
        <v>12</v>
      </c>
      <c r="F751" t="s">
        <v>32</v>
      </c>
      <c r="G751" t="s">
        <v>18</v>
      </c>
      <c r="H751">
        <v>27166</v>
      </c>
      <c r="I751">
        <v>34</v>
      </c>
      <c r="J751">
        <v>60</v>
      </c>
      <c r="K751">
        <f t="shared" si="33"/>
        <v>0</v>
      </c>
      <c r="L751" s="4">
        <f t="shared" ca="1" si="34"/>
        <v>39</v>
      </c>
      <c r="M751" t="str">
        <f t="shared" si="35"/>
        <v>Jan-2023</v>
      </c>
      <c r="N751" t="s">
        <v>19</v>
      </c>
    </row>
    <row r="752" spans="1:14" x14ac:dyDescent="0.25">
      <c r="A752" t="s">
        <v>780</v>
      </c>
      <c r="B752" s="1">
        <v>45809</v>
      </c>
      <c r="D752">
        <v>52</v>
      </c>
      <c r="E752" t="s">
        <v>21</v>
      </c>
      <c r="F752" t="s">
        <v>13</v>
      </c>
      <c r="G752" t="s">
        <v>30</v>
      </c>
      <c r="H752">
        <v>3745</v>
      </c>
      <c r="I752">
        <v>5</v>
      </c>
      <c r="J752">
        <v>57</v>
      </c>
      <c r="K752">
        <f t="shared" si="33"/>
        <v>0</v>
      </c>
      <c r="L752" s="4">
        <f t="shared" ca="1" si="34"/>
        <v>10</v>
      </c>
      <c r="M752" t="str">
        <f t="shared" si="35"/>
        <v>Jun-2025</v>
      </c>
      <c r="N752" t="s">
        <v>19</v>
      </c>
    </row>
    <row r="753" spans="1:14" x14ac:dyDescent="0.25">
      <c r="A753" t="s">
        <v>781</v>
      </c>
      <c r="B753" s="1">
        <v>45110</v>
      </c>
      <c r="C753" s="1">
        <v>45320</v>
      </c>
      <c r="D753">
        <v>27</v>
      </c>
      <c r="E753" t="s">
        <v>12</v>
      </c>
      <c r="F753" t="s">
        <v>17</v>
      </c>
      <c r="G753" t="s">
        <v>18</v>
      </c>
      <c r="H753">
        <v>5593</v>
      </c>
      <c r="I753">
        <v>7</v>
      </c>
      <c r="J753">
        <v>86</v>
      </c>
      <c r="K753">
        <f t="shared" si="33"/>
        <v>1</v>
      </c>
      <c r="L753" s="4">
        <f t="shared" ca="1" si="34"/>
        <v>7</v>
      </c>
      <c r="M753" t="str">
        <f t="shared" si="35"/>
        <v>Jul-2023</v>
      </c>
      <c r="N753" t="s">
        <v>19</v>
      </c>
    </row>
    <row r="754" spans="1:14" x14ac:dyDescent="0.25">
      <c r="A754" t="s">
        <v>782</v>
      </c>
      <c r="B754" s="1">
        <v>45313</v>
      </c>
      <c r="C754" s="1">
        <v>45493</v>
      </c>
      <c r="D754">
        <v>25</v>
      </c>
      <c r="E754" t="s">
        <v>12</v>
      </c>
      <c r="F754" t="s">
        <v>41</v>
      </c>
      <c r="G754" t="s">
        <v>18</v>
      </c>
      <c r="H754">
        <v>4794</v>
      </c>
      <c r="I754">
        <v>6</v>
      </c>
      <c r="J754">
        <v>57</v>
      </c>
      <c r="K754">
        <f t="shared" si="33"/>
        <v>1</v>
      </c>
      <c r="L754" s="4">
        <f t="shared" ca="1" si="34"/>
        <v>6</v>
      </c>
      <c r="M754" t="str">
        <f t="shared" si="35"/>
        <v>Jan-2024</v>
      </c>
      <c r="N754" t="s">
        <v>19</v>
      </c>
    </row>
    <row r="755" spans="1:14" x14ac:dyDescent="0.25">
      <c r="A755" t="s">
        <v>783</v>
      </c>
      <c r="B755" s="1">
        <v>45156</v>
      </c>
      <c r="D755">
        <v>29</v>
      </c>
      <c r="E755" t="s">
        <v>21</v>
      </c>
      <c r="F755" t="s">
        <v>57</v>
      </c>
      <c r="G755" t="s">
        <v>14</v>
      </c>
      <c r="H755">
        <v>18174</v>
      </c>
      <c r="I755">
        <v>26</v>
      </c>
      <c r="J755">
        <v>94</v>
      </c>
      <c r="K755">
        <f t="shared" si="33"/>
        <v>0</v>
      </c>
      <c r="L755" s="4">
        <f t="shared" ca="1" si="34"/>
        <v>32</v>
      </c>
      <c r="M755" t="str">
        <f t="shared" si="35"/>
        <v>Aug-2023</v>
      </c>
      <c r="N755" t="s">
        <v>19</v>
      </c>
    </row>
    <row r="756" spans="1:14" x14ac:dyDescent="0.25">
      <c r="A756" t="s">
        <v>784</v>
      </c>
      <c r="B756" s="1">
        <v>45271</v>
      </c>
      <c r="D756">
        <v>24</v>
      </c>
      <c r="E756" t="s">
        <v>21</v>
      </c>
      <c r="F756" t="s">
        <v>47</v>
      </c>
      <c r="G756" t="s">
        <v>18</v>
      </c>
      <c r="H756">
        <v>18377</v>
      </c>
      <c r="I756">
        <v>23</v>
      </c>
      <c r="J756">
        <v>73</v>
      </c>
      <c r="K756">
        <f t="shared" si="33"/>
        <v>0</v>
      </c>
      <c r="L756" s="4">
        <f t="shared" ca="1" si="34"/>
        <v>28</v>
      </c>
      <c r="M756" t="str">
        <f t="shared" si="35"/>
        <v>Dec-2023</v>
      </c>
      <c r="N756" t="s">
        <v>25</v>
      </c>
    </row>
    <row r="757" spans="1:14" x14ac:dyDescent="0.25">
      <c r="A757" t="s">
        <v>785</v>
      </c>
      <c r="B757" s="1">
        <v>45467</v>
      </c>
      <c r="D757">
        <v>21</v>
      </c>
      <c r="E757" t="s">
        <v>21</v>
      </c>
      <c r="F757" t="s">
        <v>13</v>
      </c>
      <c r="G757" t="s">
        <v>30</v>
      </c>
      <c r="H757">
        <v>11984</v>
      </c>
      <c r="I757">
        <v>16</v>
      </c>
      <c r="J757">
        <v>49</v>
      </c>
      <c r="K757">
        <f t="shared" si="33"/>
        <v>0</v>
      </c>
      <c r="L757" s="4">
        <f t="shared" ca="1" si="34"/>
        <v>21</v>
      </c>
      <c r="M757" t="str">
        <f t="shared" si="35"/>
        <v>Jun-2024</v>
      </c>
      <c r="N757" t="s">
        <v>19</v>
      </c>
    </row>
    <row r="758" spans="1:14" x14ac:dyDescent="0.25">
      <c r="A758" t="s">
        <v>786</v>
      </c>
      <c r="B758" s="1">
        <v>45835</v>
      </c>
      <c r="C758" s="1">
        <v>45865</v>
      </c>
      <c r="D758">
        <v>41</v>
      </c>
      <c r="E758" t="s">
        <v>12</v>
      </c>
      <c r="F758" t="s">
        <v>17</v>
      </c>
      <c r="G758" t="s">
        <v>30</v>
      </c>
      <c r="H758">
        <v>749</v>
      </c>
      <c r="I758">
        <v>1</v>
      </c>
      <c r="J758">
        <v>37</v>
      </c>
      <c r="K758">
        <f t="shared" si="33"/>
        <v>1</v>
      </c>
      <c r="L758" s="4">
        <f t="shared" ca="1" si="34"/>
        <v>1</v>
      </c>
      <c r="M758" t="str">
        <f t="shared" si="35"/>
        <v>Jun-2025</v>
      </c>
      <c r="N758" t="s">
        <v>15</v>
      </c>
    </row>
    <row r="759" spans="1:14" x14ac:dyDescent="0.25">
      <c r="A759" t="s">
        <v>787</v>
      </c>
      <c r="B759" s="1">
        <v>45796</v>
      </c>
      <c r="D759">
        <v>54</v>
      </c>
      <c r="E759" t="s">
        <v>21</v>
      </c>
      <c r="F759" t="s">
        <v>27</v>
      </c>
      <c r="G759" t="s">
        <v>30</v>
      </c>
      <c r="H759">
        <v>3745</v>
      </c>
      <c r="I759">
        <v>5</v>
      </c>
      <c r="J759">
        <v>60</v>
      </c>
      <c r="K759">
        <f t="shared" si="33"/>
        <v>0</v>
      </c>
      <c r="L759" s="4">
        <f t="shared" ca="1" si="34"/>
        <v>11</v>
      </c>
      <c r="M759" t="str">
        <f t="shared" si="35"/>
        <v>May-2025</v>
      </c>
      <c r="N759" t="s">
        <v>19</v>
      </c>
    </row>
    <row r="760" spans="1:14" x14ac:dyDescent="0.25">
      <c r="A760" t="s">
        <v>788</v>
      </c>
      <c r="B760" s="1">
        <v>45252</v>
      </c>
      <c r="D760">
        <v>53</v>
      </c>
      <c r="E760" t="s">
        <v>21</v>
      </c>
      <c r="F760" t="s">
        <v>13</v>
      </c>
      <c r="G760" t="s">
        <v>18</v>
      </c>
      <c r="H760">
        <v>18377</v>
      </c>
      <c r="I760">
        <v>23</v>
      </c>
      <c r="J760">
        <v>71</v>
      </c>
      <c r="K760">
        <f t="shared" si="33"/>
        <v>0</v>
      </c>
      <c r="L760" s="4">
        <f t="shared" ca="1" si="34"/>
        <v>29</v>
      </c>
      <c r="M760" t="str">
        <f t="shared" si="35"/>
        <v>Nov-2023</v>
      </c>
      <c r="N760" t="s">
        <v>19</v>
      </c>
    </row>
    <row r="761" spans="1:14" x14ac:dyDescent="0.25">
      <c r="A761" t="s">
        <v>789</v>
      </c>
      <c r="B761" s="1">
        <v>44913</v>
      </c>
      <c r="D761">
        <v>37</v>
      </c>
      <c r="E761" t="s">
        <v>12</v>
      </c>
      <c r="F761" t="s">
        <v>29</v>
      </c>
      <c r="G761" t="s">
        <v>30</v>
      </c>
      <c r="H761">
        <v>25466</v>
      </c>
      <c r="I761">
        <v>34</v>
      </c>
      <c r="J761">
        <v>68</v>
      </c>
      <c r="K761">
        <f t="shared" si="33"/>
        <v>0</v>
      </c>
      <c r="L761" s="4">
        <f t="shared" ca="1" si="34"/>
        <v>40</v>
      </c>
      <c r="M761" t="str">
        <f t="shared" si="35"/>
        <v>Dec-2022</v>
      </c>
      <c r="N761" t="s">
        <v>23</v>
      </c>
    </row>
    <row r="762" spans="1:14" x14ac:dyDescent="0.25">
      <c r="A762" t="s">
        <v>790</v>
      </c>
      <c r="B762" s="1">
        <v>45141</v>
      </c>
      <c r="C762" s="1">
        <v>45471</v>
      </c>
      <c r="D762">
        <v>41</v>
      </c>
      <c r="E762" t="s">
        <v>12</v>
      </c>
      <c r="F762" t="s">
        <v>57</v>
      </c>
      <c r="G762" t="s">
        <v>18</v>
      </c>
      <c r="H762">
        <v>8789</v>
      </c>
      <c r="I762">
        <v>11</v>
      </c>
      <c r="J762">
        <v>86</v>
      </c>
      <c r="K762">
        <f t="shared" si="33"/>
        <v>1</v>
      </c>
      <c r="L762" s="4">
        <f t="shared" ca="1" si="34"/>
        <v>11</v>
      </c>
      <c r="M762" t="str">
        <f t="shared" si="35"/>
        <v>Aug-2023</v>
      </c>
      <c r="N762" t="s">
        <v>23</v>
      </c>
    </row>
    <row r="763" spans="1:14" x14ac:dyDescent="0.25">
      <c r="A763" t="s">
        <v>791</v>
      </c>
      <c r="B763" s="1">
        <v>44987</v>
      </c>
      <c r="D763">
        <v>60</v>
      </c>
      <c r="E763" t="s">
        <v>21</v>
      </c>
      <c r="F763" t="s">
        <v>13</v>
      </c>
      <c r="G763" t="s">
        <v>30</v>
      </c>
      <c r="H763">
        <v>23968</v>
      </c>
      <c r="I763">
        <v>32</v>
      </c>
      <c r="J763">
        <v>82</v>
      </c>
      <c r="K763">
        <f t="shared" si="33"/>
        <v>0</v>
      </c>
      <c r="L763" s="4">
        <f t="shared" ca="1" si="34"/>
        <v>37</v>
      </c>
      <c r="M763" t="str">
        <f t="shared" si="35"/>
        <v>Mar-2023</v>
      </c>
      <c r="N763" t="s">
        <v>15</v>
      </c>
    </row>
    <row r="764" spans="1:14" x14ac:dyDescent="0.25">
      <c r="A764" t="s">
        <v>792</v>
      </c>
      <c r="B764" s="1">
        <v>45509</v>
      </c>
      <c r="C764" s="1">
        <v>45959</v>
      </c>
      <c r="D764">
        <v>56</v>
      </c>
      <c r="E764" t="s">
        <v>21</v>
      </c>
      <c r="F764" t="s">
        <v>38</v>
      </c>
      <c r="G764" t="s">
        <v>30</v>
      </c>
      <c r="H764">
        <v>11235</v>
      </c>
      <c r="I764">
        <v>15</v>
      </c>
      <c r="J764">
        <v>41</v>
      </c>
      <c r="K764">
        <f t="shared" si="33"/>
        <v>1</v>
      </c>
      <c r="L764" s="4">
        <f t="shared" ca="1" si="34"/>
        <v>15</v>
      </c>
      <c r="M764" t="str">
        <f t="shared" si="35"/>
        <v>Aug-2024</v>
      </c>
      <c r="N764" t="s">
        <v>23</v>
      </c>
    </row>
    <row r="765" spans="1:14" x14ac:dyDescent="0.25">
      <c r="A765" t="s">
        <v>793</v>
      </c>
      <c r="B765" s="1">
        <v>44988</v>
      </c>
      <c r="D765">
        <v>21</v>
      </c>
      <c r="E765" t="s">
        <v>12</v>
      </c>
      <c r="F765" t="s">
        <v>27</v>
      </c>
      <c r="G765" t="s">
        <v>18</v>
      </c>
      <c r="H765">
        <v>25568</v>
      </c>
      <c r="I765">
        <v>32</v>
      </c>
      <c r="J765">
        <v>80</v>
      </c>
      <c r="K765">
        <f t="shared" si="33"/>
        <v>0</v>
      </c>
      <c r="L765" s="4">
        <f t="shared" ca="1" si="34"/>
        <v>37</v>
      </c>
      <c r="M765" t="str">
        <f t="shared" si="35"/>
        <v>Mar-2023</v>
      </c>
      <c r="N765" t="s">
        <v>23</v>
      </c>
    </row>
    <row r="766" spans="1:14" x14ac:dyDescent="0.25">
      <c r="A766" t="s">
        <v>794</v>
      </c>
      <c r="B766" s="1">
        <v>45826</v>
      </c>
      <c r="D766">
        <v>25</v>
      </c>
      <c r="E766" t="s">
        <v>15</v>
      </c>
      <c r="F766" t="s">
        <v>41</v>
      </c>
      <c r="G766" t="s">
        <v>30</v>
      </c>
      <c r="H766">
        <v>2996</v>
      </c>
      <c r="I766">
        <v>4</v>
      </c>
      <c r="J766">
        <v>71</v>
      </c>
      <c r="K766">
        <f t="shared" si="33"/>
        <v>0</v>
      </c>
      <c r="L766" s="4">
        <f t="shared" ca="1" si="34"/>
        <v>10</v>
      </c>
      <c r="M766" t="str">
        <f t="shared" si="35"/>
        <v>Jun-2025</v>
      </c>
      <c r="N766" t="s">
        <v>23</v>
      </c>
    </row>
    <row r="767" spans="1:14" x14ac:dyDescent="0.25">
      <c r="A767" t="s">
        <v>795</v>
      </c>
      <c r="B767" s="1">
        <v>45124</v>
      </c>
      <c r="C767" s="1">
        <v>45604</v>
      </c>
      <c r="D767">
        <v>40</v>
      </c>
      <c r="E767" t="s">
        <v>21</v>
      </c>
      <c r="F767" t="s">
        <v>32</v>
      </c>
      <c r="G767" t="s">
        <v>30</v>
      </c>
      <c r="H767">
        <v>11984</v>
      </c>
      <c r="I767">
        <v>16</v>
      </c>
      <c r="J767">
        <v>39</v>
      </c>
      <c r="K767">
        <f t="shared" si="33"/>
        <v>1</v>
      </c>
      <c r="L767" s="4">
        <f t="shared" ca="1" si="34"/>
        <v>16</v>
      </c>
      <c r="M767" t="str">
        <f t="shared" si="35"/>
        <v>Jul-2023</v>
      </c>
      <c r="N767" t="s">
        <v>19</v>
      </c>
    </row>
    <row r="768" spans="1:14" x14ac:dyDescent="0.25">
      <c r="A768" t="s">
        <v>796</v>
      </c>
      <c r="B768" s="1">
        <v>44911</v>
      </c>
      <c r="D768">
        <v>35</v>
      </c>
      <c r="E768" t="s">
        <v>21</v>
      </c>
      <c r="F768" t="s">
        <v>17</v>
      </c>
      <c r="G768" t="s">
        <v>18</v>
      </c>
      <c r="H768">
        <v>27965</v>
      </c>
      <c r="I768">
        <v>35</v>
      </c>
      <c r="J768">
        <v>44</v>
      </c>
      <c r="K768">
        <f t="shared" si="33"/>
        <v>0</v>
      </c>
      <c r="L768" s="4">
        <f t="shared" ca="1" si="34"/>
        <v>40</v>
      </c>
      <c r="M768" t="str">
        <f t="shared" si="35"/>
        <v>Dec-2022</v>
      </c>
      <c r="N768" t="s">
        <v>23</v>
      </c>
    </row>
    <row r="769" spans="1:14" x14ac:dyDescent="0.25">
      <c r="A769" t="s">
        <v>797</v>
      </c>
      <c r="B769" s="1">
        <v>45917</v>
      </c>
      <c r="D769">
        <v>48</v>
      </c>
      <c r="E769" t="s">
        <v>12</v>
      </c>
      <c r="F769" t="s">
        <v>22</v>
      </c>
      <c r="G769" t="s">
        <v>14</v>
      </c>
      <c r="H769">
        <v>699</v>
      </c>
      <c r="I769">
        <v>1</v>
      </c>
      <c r="J769">
        <v>83</v>
      </c>
      <c r="K769">
        <f t="shared" si="33"/>
        <v>0</v>
      </c>
      <c r="L769" s="4">
        <f t="shared" ca="1" si="34"/>
        <v>6</v>
      </c>
      <c r="M769" t="str">
        <f t="shared" si="35"/>
        <v>Sep-2025</v>
      </c>
      <c r="N769" t="s">
        <v>19</v>
      </c>
    </row>
    <row r="770" spans="1:14" x14ac:dyDescent="0.25">
      <c r="A770" t="s">
        <v>798</v>
      </c>
      <c r="B770" s="1">
        <v>45832</v>
      </c>
      <c r="C770" s="1">
        <v>45892</v>
      </c>
      <c r="D770">
        <v>28</v>
      </c>
      <c r="E770" t="s">
        <v>21</v>
      </c>
      <c r="F770" t="s">
        <v>22</v>
      </c>
      <c r="G770" t="s">
        <v>18</v>
      </c>
      <c r="H770">
        <v>1598</v>
      </c>
      <c r="I770">
        <v>2</v>
      </c>
      <c r="J770">
        <v>53</v>
      </c>
      <c r="K770">
        <f t="shared" si="33"/>
        <v>1</v>
      </c>
      <c r="L770" s="4">
        <f t="shared" ca="1" si="34"/>
        <v>2</v>
      </c>
      <c r="M770" t="str">
        <f t="shared" si="35"/>
        <v>Jun-2025</v>
      </c>
      <c r="N770" t="s">
        <v>23</v>
      </c>
    </row>
    <row r="771" spans="1:14" x14ac:dyDescent="0.25">
      <c r="A771" t="s">
        <v>799</v>
      </c>
      <c r="B771" s="1">
        <v>45094</v>
      </c>
      <c r="D771">
        <v>52</v>
      </c>
      <c r="E771" t="s">
        <v>12</v>
      </c>
      <c r="F771" t="s">
        <v>29</v>
      </c>
      <c r="G771" t="s">
        <v>14</v>
      </c>
      <c r="H771">
        <v>19572</v>
      </c>
      <c r="I771">
        <v>28</v>
      </c>
      <c r="J771">
        <v>85</v>
      </c>
      <c r="K771">
        <f t="shared" ref="K771:K834" si="36">IF(ISBLANK(C771), 0, 1)</f>
        <v>0</v>
      </c>
      <c r="L771" s="4">
        <f t="shared" ref="L771:L834" ca="1" si="37">ROUNDUP(DATEDIF(B771, IF(ISBLANK(C771), TODAY(), C771), "d")/30, 0)</f>
        <v>34</v>
      </c>
      <c r="M771" t="str">
        <f t="shared" ref="M771:M834" si="38">TEXT(B771, "mmm-yyyy")</f>
        <v>Jun-2023</v>
      </c>
      <c r="N771" t="s">
        <v>23</v>
      </c>
    </row>
    <row r="772" spans="1:14" x14ac:dyDescent="0.25">
      <c r="A772" t="s">
        <v>800</v>
      </c>
      <c r="B772" s="1">
        <v>45290</v>
      </c>
      <c r="D772">
        <v>57</v>
      </c>
      <c r="E772" t="s">
        <v>21</v>
      </c>
      <c r="F772" t="s">
        <v>22</v>
      </c>
      <c r="G772" t="s">
        <v>18</v>
      </c>
      <c r="H772">
        <v>17578</v>
      </c>
      <c r="I772">
        <v>22</v>
      </c>
      <c r="J772">
        <v>54</v>
      </c>
      <c r="K772">
        <f t="shared" si="36"/>
        <v>0</v>
      </c>
      <c r="L772" s="4">
        <f t="shared" ca="1" si="37"/>
        <v>27</v>
      </c>
      <c r="M772" t="str">
        <f t="shared" si="38"/>
        <v>Dec-2023</v>
      </c>
      <c r="N772" t="s">
        <v>15</v>
      </c>
    </row>
    <row r="773" spans="1:14" x14ac:dyDescent="0.25">
      <c r="A773" t="s">
        <v>801</v>
      </c>
      <c r="B773" s="1">
        <v>45840</v>
      </c>
      <c r="C773" s="1">
        <v>45930</v>
      </c>
      <c r="D773">
        <v>31</v>
      </c>
      <c r="E773" t="s">
        <v>21</v>
      </c>
      <c r="F773" t="s">
        <v>38</v>
      </c>
      <c r="G773" t="s">
        <v>30</v>
      </c>
      <c r="H773">
        <v>2247</v>
      </c>
      <c r="I773">
        <v>3</v>
      </c>
      <c r="J773">
        <v>53</v>
      </c>
      <c r="K773">
        <f t="shared" si="36"/>
        <v>1</v>
      </c>
      <c r="L773" s="4">
        <f t="shared" ca="1" si="37"/>
        <v>3</v>
      </c>
      <c r="M773" t="str">
        <f t="shared" si="38"/>
        <v>Jul-2025</v>
      </c>
      <c r="N773" t="s">
        <v>19</v>
      </c>
    </row>
    <row r="774" spans="1:14" x14ac:dyDescent="0.25">
      <c r="A774" t="s">
        <v>802</v>
      </c>
      <c r="B774" s="1">
        <v>45906</v>
      </c>
      <c r="D774">
        <v>45</v>
      </c>
      <c r="E774" t="s">
        <v>21</v>
      </c>
      <c r="F774" t="s">
        <v>38</v>
      </c>
      <c r="G774" t="s">
        <v>30</v>
      </c>
      <c r="H774">
        <v>749</v>
      </c>
      <c r="I774">
        <v>1</v>
      </c>
      <c r="J774">
        <v>63</v>
      </c>
      <c r="K774">
        <f t="shared" si="36"/>
        <v>0</v>
      </c>
      <c r="L774" s="4">
        <f t="shared" ca="1" si="37"/>
        <v>7</v>
      </c>
      <c r="M774" t="str">
        <f t="shared" si="38"/>
        <v>Sep-2025</v>
      </c>
      <c r="N774" t="s">
        <v>19</v>
      </c>
    </row>
    <row r="775" spans="1:14" x14ac:dyDescent="0.25">
      <c r="A775" t="s">
        <v>803</v>
      </c>
      <c r="B775" s="1">
        <v>45054</v>
      </c>
      <c r="D775">
        <v>45</v>
      </c>
      <c r="E775" t="s">
        <v>15</v>
      </c>
      <c r="F775" t="s">
        <v>13</v>
      </c>
      <c r="G775" t="s">
        <v>30</v>
      </c>
      <c r="H775">
        <v>22470</v>
      </c>
      <c r="I775">
        <v>30</v>
      </c>
      <c r="J775">
        <v>77</v>
      </c>
      <c r="K775">
        <f t="shared" si="36"/>
        <v>0</v>
      </c>
      <c r="L775" s="4">
        <f t="shared" ca="1" si="37"/>
        <v>35</v>
      </c>
      <c r="M775" t="str">
        <f t="shared" si="38"/>
        <v>May-2023</v>
      </c>
      <c r="N775" t="s">
        <v>25</v>
      </c>
    </row>
    <row r="776" spans="1:14" x14ac:dyDescent="0.25">
      <c r="A776" t="s">
        <v>804</v>
      </c>
      <c r="B776" s="1">
        <v>45591</v>
      </c>
      <c r="D776">
        <v>19</v>
      </c>
      <c r="E776" t="s">
        <v>12</v>
      </c>
      <c r="F776" t="s">
        <v>47</v>
      </c>
      <c r="G776" t="s">
        <v>18</v>
      </c>
      <c r="H776">
        <v>9588</v>
      </c>
      <c r="I776">
        <v>12</v>
      </c>
      <c r="J776">
        <v>62</v>
      </c>
      <c r="K776">
        <f t="shared" si="36"/>
        <v>0</v>
      </c>
      <c r="L776" s="4">
        <f t="shared" ca="1" si="37"/>
        <v>17</v>
      </c>
      <c r="M776" t="str">
        <f t="shared" si="38"/>
        <v>Oct-2024</v>
      </c>
      <c r="N776" t="s">
        <v>19</v>
      </c>
    </row>
    <row r="777" spans="1:14" x14ac:dyDescent="0.25">
      <c r="A777" t="s">
        <v>805</v>
      </c>
      <c r="B777" s="1">
        <v>45032</v>
      </c>
      <c r="D777">
        <v>58</v>
      </c>
      <c r="E777" t="s">
        <v>12</v>
      </c>
      <c r="F777" t="s">
        <v>13</v>
      </c>
      <c r="G777" t="s">
        <v>18</v>
      </c>
      <c r="H777">
        <v>24769</v>
      </c>
      <c r="I777">
        <v>31</v>
      </c>
      <c r="J777">
        <v>100</v>
      </c>
      <c r="K777">
        <f t="shared" si="36"/>
        <v>0</v>
      </c>
      <c r="L777" s="4">
        <f t="shared" ca="1" si="37"/>
        <v>36</v>
      </c>
      <c r="M777" t="str">
        <f t="shared" si="38"/>
        <v>Apr-2023</v>
      </c>
      <c r="N777" t="s">
        <v>19</v>
      </c>
    </row>
    <row r="778" spans="1:14" x14ac:dyDescent="0.25">
      <c r="A778" t="s">
        <v>806</v>
      </c>
      <c r="B778" s="1">
        <v>45206</v>
      </c>
      <c r="C778" s="1">
        <v>45416</v>
      </c>
      <c r="D778">
        <v>53</v>
      </c>
      <c r="E778" t="s">
        <v>21</v>
      </c>
      <c r="F778" t="s">
        <v>27</v>
      </c>
      <c r="G778" t="s">
        <v>18</v>
      </c>
      <c r="H778">
        <v>5593</v>
      </c>
      <c r="I778">
        <v>7</v>
      </c>
      <c r="J778">
        <v>59</v>
      </c>
      <c r="K778">
        <f t="shared" si="36"/>
        <v>1</v>
      </c>
      <c r="L778" s="4">
        <f t="shared" ca="1" si="37"/>
        <v>7</v>
      </c>
      <c r="M778" t="str">
        <f t="shared" si="38"/>
        <v>Oct-2023</v>
      </c>
      <c r="N778" t="s">
        <v>19</v>
      </c>
    </row>
    <row r="779" spans="1:14" x14ac:dyDescent="0.25">
      <c r="A779" t="s">
        <v>807</v>
      </c>
      <c r="B779" s="1">
        <v>44892</v>
      </c>
      <c r="D779">
        <v>51</v>
      </c>
      <c r="E779" t="s">
        <v>12</v>
      </c>
      <c r="F779" t="s">
        <v>32</v>
      </c>
      <c r="G779" t="s">
        <v>30</v>
      </c>
      <c r="H779">
        <v>26215</v>
      </c>
      <c r="I779">
        <v>35</v>
      </c>
      <c r="J779">
        <v>50</v>
      </c>
      <c r="K779">
        <f t="shared" si="36"/>
        <v>0</v>
      </c>
      <c r="L779" s="4">
        <f t="shared" ca="1" si="37"/>
        <v>41</v>
      </c>
      <c r="M779" t="str">
        <f t="shared" si="38"/>
        <v>Nov-2022</v>
      </c>
      <c r="N779" t="s">
        <v>19</v>
      </c>
    </row>
    <row r="780" spans="1:14" x14ac:dyDescent="0.25">
      <c r="A780" t="s">
        <v>808</v>
      </c>
      <c r="B780" s="1">
        <v>45435</v>
      </c>
      <c r="C780" s="1">
        <v>45855</v>
      </c>
      <c r="D780">
        <v>53</v>
      </c>
      <c r="E780" t="s">
        <v>12</v>
      </c>
      <c r="F780" t="s">
        <v>17</v>
      </c>
      <c r="G780" t="s">
        <v>18</v>
      </c>
      <c r="H780">
        <v>11186</v>
      </c>
      <c r="I780">
        <v>14</v>
      </c>
      <c r="J780">
        <v>22</v>
      </c>
      <c r="K780">
        <f t="shared" si="36"/>
        <v>1</v>
      </c>
      <c r="L780" s="4">
        <f t="shared" ca="1" si="37"/>
        <v>14</v>
      </c>
      <c r="M780" t="str">
        <f t="shared" si="38"/>
        <v>May-2024</v>
      </c>
      <c r="N780" t="s">
        <v>23</v>
      </c>
    </row>
    <row r="781" spans="1:14" x14ac:dyDescent="0.25">
      <c r="A781" t="s">
        <v>809</v>
      </c>
      <c r="B781" s="1">
        <v>44952</v>
      </c>
      <c r="D781">
        <v>50</v>
      </c>
      <c r="E781" t="s">
        <v>21</v>
      </c>
      <c r="F781" t="s">
        <v>29</v>
      </c>
      <c r="G781" t="s">
        <v>18</v>
      </c>
      <c r="H781">
        <v>26367</v>
      </c>
      <c r="I781">
        <v>33</v>
      </c>
      <c r="J781">
        <v>75</v>
      </c>
      <c r="K781">
        <f t="shared" si="36"/>
        <v>0</v>
      </c>
      <c r="L781" s="4">
        <f t="shared" ca="1" si="37"/>
        <v>39</v>
      </c>
      <c r="M781" t="str">
        <f t="shared" si="38"/>
        <v>Jan-2023</v>
      </c>
      <c r="N781" t="s">
        <v>23</v>
      </c>
    </row>
    <row r="782" spans="1:14" x14ac:dyDescent="0.25">
      <c r="A782" t="s">
        <v>810</v>
      </c>
      <c r="B782" s="1">
        <v>45260</v>
      </c>
      <c r="C782" s="1">
        <v>45740</v>
      </c>
      <c r="D782">
        <v>32</v>
      </c>
      <c r="E782" t="s">
        <v>21</v>
      </c>
      <c r="F782" t="s">
        <v>17</v>
      </c>
      <c r="G782" t="s">
        <v>30</v>
      </c>
      <c r="H782">
        <v>11984</v>
      </c>
      <c r="I782">
        <v>16</v>
      </c>
      <c r="J782">
        <v>75</v>
      </c>
      <c r="K782">
        <f t="shared" si="36"/>
        <v>1</v>
      </c>
      <c r="L782" s="4">
        <f t="shared" ca="1" si="37"/>
        <v>16</v>
      </c>
      <c r="M782" t="str">
        <f t="shared" si="38"/>
        <v>Nov-2023</v>
      </c>
      <c r="N782" t="s">
        <v>25</v>
      </c>
    </row>
    <row r="783" spans="1:14" x14ac:dyDescent="0.25">
      <c r="A783" t="s">
        <v>811</v>
      </c>
      <c r="B783" s="1">
        <v>45625</v>
      </c>
      <c r="D783">
        <v>54</v>
      </c>
      <c r="E783" t="s">
        <v>12</v>
      </c>
      <c r="F783" t="s">
        <v>57</v>
      </c>
      <c r="G783" t="s">
        <v>18</v>
      </c>
      <c r="H783">
        <v>8789</v>
      </c>
      <c r="I783">
        <v>11</v>
      </c>
      <c r="J783">
        <v>61</v>
      </c>
      <c r="K783">
        <f t="shared" si="36"/>
        <v>0</v>
      </c>
      <c r="L783" s="4">
        <f t="shared" ca="1" si="37"/>
        <v>16</v>
      </c>
      <c r="M783" t="str">
        <f t="shared" si="38"/>
        <v>Nov-2024</v>
      </c>
      <c r="N783" t="s">
        <v>19</v>
      </c>
    </row>
    <row r="784" spans="1:14" x14ac:dyDescent="0.25">
      <c r="A784" t="s">
        <v>812</v>
      </c>
      <c r="B784" s="1">
        <v>45310</v>
      </c>
      <c r="D784">
        <v>19</v>
      </c>
      <c r="E784" t="s">
        <v>12</v>
      </c>
      <c r="F784" t="s">
        <v>57</v>
      </c>
      <c r="G784" t="s">
        <v>18</v>
      </c>
      <c r="H784">
        <v>16779</v>
      </c>
      <c r="I784">
        <v>21</v>
      </c>
      <c r="J784">
        <v>51</v>
      </c>
      <c r="K784">
        <f t="shared" si="36"/>
        <v>0</v>
      </c>
      <c r="L784" s="4">
        <f t="shared" ca="1" si="37"/>
        <v>27</v>
      </c>
      <c r="M784" t="str">
        <f t="shared" si="38"/>
        <v>Jan-2024</v>
      </c>
      <c r="N784" t="s">
        <v>19</v>
      </c>
    </row>
    <row r="785" spans="1:14" x14ac:dyDescent="0.25">
      <c r="A785" t="s">
        <v>813</v>
      </c>
      <c r="B785" s="1">
        <v>45058</v>
      </c>
      <c r="D785">
        <v>21</v>
      </c>
      <c r="E785" t="s">
        <v>12</v>
      </c>
      <c r="F785" t="s">
        <v>27</v>
      </c>
      <c r="G785" t="s">
        <v>30</v>
      </c>
      <c r="H785">
        <v>22470</v>
      </c>
      <c r="I785">
        <v>30</v>
      </c>
      <c r="J785">
        <v>67</v>
      </c>
      <c r="K785">
        <f t="shared" si="36"/>
        <v>0</v>
      </c>
      <c r="L785" s="4">
        <f t="shared" ca="1" si="37"/>
        <v>35</v>
      </c>
      <c r="M785" t="str">
        <f t="shared" si="38"/>
        <v>May-2023</v>
      </c>
      <c r="N785" t="s">
        <v>19</v>
      </c>
    </row>
    <row r="786" spans="1:14" x14ac:dyDescent="0.25">
      <c r="A786" t="s">
        <v>814</v>
      </c>
      <c r="B786" s="1">
        <v>45901</v>
      </c>
      <c r="D786">
        <v>50</v>
      </c>
      <c r="E786" t="s">
        <v>21</v>
      </c>
      <c r="F786" t="s">
        <v>47</v>
      </c>
      <c r="G786" t="s">
        <v>18</v>
      </c>
      <c r="H786">
        <v>1598</v>
      </c>
      <c r="I786">
        <v>2</v>
      </c>
      <c r="J786">
        <v>68</v>
      </c>
      <c r="K786">
        <f t="shared" si="36"/>
        <v>0</v>
      </c>
      <c r="L786" s="4">
        <f t="shared" ca="1" si="37"/>
        <v>7</v>
      </c>
      <c r="M786" t="str">
        <f t="shared" si="38"/>
        <v>Sep-2025</v>
      </c>
      <c r="N786" t="s">
        <v>19</v>
      </c>
    </row>
    <row r="787" spans="1:14" x14ac:dyDescent="0.25">
      <c r="A787" t="s">
        <v>815</v>
      </c>
      <c r="B787" s="1">
        <v>45321</v>
      </c>
      <c r="D787">
        <v>59</v>
      </c>
      <c r="E787" t="s">
        <v>21</v>
      </c>
      <c r="F787" t="s">
        <v>13</v>
      </c>
      <c r="G787" t="s">
        <v>18</v>
      </c>
      <c r="H787">
        <v>16779</v>
      </c>
      <c r="I787">
        <v>21</v>
      </c>
      <c r="J787">
        <v>22</v>
      </c>
      <c r="K787">
        <f t="shared" si="36"/>
        <v>0</v>
      </c>
      <c r="L787" s="4">
        <f t="shared" ca="1" si="37"/>
        <v>26</v>
      </c>
      <c r="M787" t="str">
        <f t="shared" si="38"/>
        <v>Jan-2024</v>
      </c>
      <c r="N787" t="s">
        <v>15</v>
      </c>
    </row>
    <row r="788" spans="1:14" x14ac:dyDescent="0.25">
      <c r="A788" t="s">
        <v>816</v>
      </c>
      <c r="B788" s="1">
        <v>45079</v>
      </c>
      <c r="D788">
        <v>38</v>
      </c>
      <c r="E788" t="s">
        <v>21</v>
      </c>
      <c r="F788" t="s">
        <v>47</v>
      </c>
      <c r="G788" t="s">
        <v>14</v>
      </c>
      <c r="H788">
        <v>20271</v>
      </c>
      <c r="I788">
        <v>29</v>
      </c>
      <c r="J788">
        <v>64</v>
      </c>
      <c r="K788">
        <f t="shared" si="36"/>
        <v>0</v>
      </c>
      <c r="L788" s="4">
        <f t="shared" ca="1" si="37"/>
        <v>34</v>
      </c>
      <c r="M788" t="str">
        <f t="shared" si="38"/>
        <v>Jun-2023</v>
      </c>
      <c r="N788" t="s">
        <v>23</v>
      </c>
    </row>
    <row r="789" spans="1:14" x14ac:dyDescent="0.25">
      <c r="A789" t="s">
        <v>817</v>
      </c>
      <c r="B789" s="1">
        <v>44988</v>
      </c>
      <c r="D789">
        <v>31</v>
      </c>
      <c r="E789" t="s">
        <v>21</v>
      </c>
      <c r="F789" t="s">
        <v>38</v>
      </c>
      <c r="G789" t="s">
        <v>18</v>
      </c>
      <c r="H789">
        <v>25568</v>
      </c>
      <c r="I789">
        <v>32</v>
      </c>
      <c r="J789">
        <v>38</v>
      </c>
      <c r="K789">
        <f t="shared" si="36"/>
        <v>0</v>
      </c>
      <c r="L789" s="4">
        <f t="shared" ca="1" si="37"/>
        <v>37</v>
      </c>
      <c r="M789" t="str">
        <f t="shared" si="38"/>
        <v>Mar-2023</v>
      </c>
      <c r="N789" t="s">
        <v>23</v>
      </c>
    </row>
    <row r="790" spans="1:14" x14ac:dyDescent="0.25">
      <c r="A790" t="s">
        <v>818</v>
      </c>
      <c r="B790" s="1">
        <v>45548</v>
      </c>
      <c r="D790">
        <v>34</v>
      </c>
      <c r="E790" t="s">
        <v>21</v>
      </c>
      <c r="F790" t="s">
        <v>29</v>
      </c>
      <c r="G790" t="s">
        <v>18</v>
      </c>
      <c r="H790">
        <v>10387</v>
      </c>
      <c r="I790">
        <v>13</v>
      </c>
      <c r="J790">
        <v>90</v>
      </c>
      <c r="K790">
        <f t="shared" si="36"/>
        <v>0</v>
      </c>
      <c r="L790" s="4">
        <f t="shared" ca="1" si="37"/>
        <v>19</v>
      </c>
      <c r="M790" t="str">
        <f t="shared" si="38"/>
        <v>Sep-2024</v>
      </c>
      <c r="N790" t="s">
        <v>23</v>
      </c>
    </row>
    <row r="791" spans="1:14" x14ac:dyDescent="0.25">
      <c r="A791" t="s">
        <v>819</v>
      </c>
      <c r="B791" s="1">
        <v>45042</v>
      </c>
      <c r="D791">
        <v>27</v>
      </c>
      <c r="E791" t="s">
        <v>12</v>
      </c>
      <c r="F791" t="s">
        <v>57</v>
      </c>
      <c r="G791" t="s">
        <v>18</v>
      </c>
      <c r="H791">
        <v>23970</v>
      </c>
      <c r="I791">
        <v>30</v>
      </c>
      <c r="J791">
        <v>61</v>
      </c>
      <c r="K791">
        <f t="shared" si="36"/>
        <v>0</v>
      </c>
      <c r="L791" s="4">
        <f t="shared" ca="1" si="37"/>
        <v>36</v>
      </c>
      <c r="M791" t="str">
        <f t="shared" si="38"/>
        <v>Apr-2023</v>
      </c>
      <c r="N791" t="s">
        <v>19</v>
      </c>
    </row>
    <row r="792" spans="1:14" x14ac:dyDescent="0.25">
      <c r="A792" t="s">
        <v>820</v>
      </c>
      <c r="B792" s="1">
        <v>45215</v>
      </c>
      <c r="D792">
        <v>30</v>
      </c>
      <c r="E792" t="s">
        <v>12</v>
      </c>
      <c r="F792" t="s">
        <v>27</v>
      </c>
      <c r="G792" t="s">
        <v>18</v>
      </c>
      <c r="H792">
        <v>19176</v>
      </c>
      <c r="I792">
        <v>24</v>
      </c>
      <c r="J792">
        <v>95</v>
      </c>
      <c r="K792">
        <f t="shared" si="36"/>
        <v>0</v>
      </c>
      <c r="L792" s="4">
        <f t="shared" ca="1" si="37"/>
        <v>30</v>
      </c>
      <c r="M792" t="str">
        <f t="shared" si="38"/>
        <v>Oct-2023</v>
      </c>
      <c r="N792" t="s">
        <v>25</v>
      </c>
    </row>
    <row r="793" spans="1:14" x14ac:dyDescent="0.25">
      <c r="A793" t="s">
        <v>821</v>
      </c>
      <c r="B793" s="1">
        <v>45056</v>
      </c>
      <c r="D793">
        <v>28</v>
      </c>
      <c r="E793" t="s">
        <v>12</v>
      </c>
      <c r="F793" t="s">
        <v>17</v>
      </c>
      <c r="G793" t="s">
        <v>18</v>
      </c>
      <c r="H793">
        <v>23970</v>
      </c>
      <c r="I793">
        <v>30</v>
      </c>
      <c r="J793">
        <v>44</v>
      </c>
      <c r="K793">
        <f t="shared" si="36"/>
        <v>0</v>
      </c>
      <c r="L793" s="4">
        <f t="shared" ca="1" si="37"/>
        <v>35</v>
      </c>
      <c r="M793" t="str">
        <f t="shared" si="38"/>
        <v>May-2023</v>
      </c>
      <c r="N793" t="s">
        <v>19</v>
      </c>
    </row>
    <row r="794" spans="1:14" x14ac:dyDescent="0.25">
      <c r="A794" t="s">
        <v>822</v>
      </c>
      <c r="B794" s="1">
        <v>44947</v>
      </c>
      <c r="D794">
        <v>50</v>
      </c>
      <c r="E794" t="s">
        <v>21</v>
      </c>
      <c r="F794" t="s">
        <v>13</v>
      </c>
      <c r="G794" t="s">
        <v>30</v>
      </c>
      <c r="H794">
        <v>24717</v>
      </c>
      <c r="I794">
        <v>33</v>
      </c>
      <c r="J794">
        <v>37</v>
      </c>
      <c r="K794">
        <f t="shared" si="36"/>
        <v>0</v>
      </c>
      <c r="L794" s="4">
        <f t="shared" ca="1" si="37"/>
        <v>39</v>
      </c>
      <c r="M794" t="str">
        <f t="shared" si="38"/>
        <v>Jan-2023</v>
      </c>
      <c r="N794" t="s">
        <v>19</v>
      </c>
    </row>
    <row r="795" spans="1:14" x14ac:dyDescent="0.25">
      <c r="A795" t="s">
        <v>823</v>
      </c>
      <c r="B795" s="1">
        <v>45530</v>
      </c>
      <c r="D795">
        <v>25</v>
      </c>
      <c r="E795" t="s">
        <v>12</v>
      </c>
      <c r="F795" t="s">
        <v>38</v>
      </c>
      <c r="G795" t="s">
        <v>30</v>
      </c>
      <c r="H795">
        <v>10486</v>
      </c>
      <c r="I795">
        <v>14</v>
      </c>
      <c r="J795">
        <v>42</v>
      </c>
      <c r="K795">
        <f t="shared" si="36"/>
        <v>0</v>
      </c>
      <c r="L795" s="4">
        <f t="shared" ca="1" si="37"/>
        <v>19</v>
      </c>
      <c r="M795" t="str">
        <f t="shared" si="38"/>
        <v>Aug-2024</v>
      </c>
      <c r="N795" t="s">
        <v>19</v>
      </c>
    </row>
    <row r="796" spans="1:14" x14ac:dyDescent="0.25">
      <c r="A796" t="s">
        <v>824</v>
      </c>
      <c r="B796" s="1">
        <v>45577</v>
      </c>
      <c r="D796">
        <v>42</v>
      </c>
      <c r="E796" t="s">
        <v>12</v>
      </c>
      <c r="F796" t="s">
        <v>22</v>
      </c>
      <c r="G796" t="s">
        <v>30</v>
      </c>
      <c r="H796">
        <v>8988</v>
      </c>
      <c r="I796">
        <v>12</v>
      </c>
      <c r="J796">
        <v>58</v>
      </c>
      <c r="K796">
        <f t="shared" si="36"/>
        <v>0</v>
      </c>
      <c r="L796" s="4">
        <f t="shared" ca="1" si="37"/>
        <v>18</v>
      </c>
      <c r="M796" t="str">
        <f t="shared" si="38"/>
        <v>Oct-2024</v>
      </c>
      <c r="N796" t="s">
        <v>19</v>
      </c>
    </row>
    <row r="797" spans="1:14" x14ac:dyDescent="0.25">
      <c r="A797" t="s">
        <v>825</v>
      </c>
      <c r="B797" s="1">
        <v>45687</v>
      </c>
      <c r="D797">
        <v>42</v>
      </c>
      <c r="E797" t="s">
        <v>21</v>
      </c>
      <c r="F797" t="s">
        <v>29</v>
      </c>
      <c r="G797" t="s">
        <v>18</v>
      </c>
      <c r="H797">
        <v>7191</v>
      </c>
      <c r="I797">
        <v>9</v>
      </c>
      <c r="J797">
        <v>100</v>
      </c>
      <c r="K797">
        <f t="shared" si="36"/>
        <v>0</v>
      </c>
      <c r="L797" s="4">
        <f t="shared" ca="1" si="37"/>
        <v>14</v>
      </c>
      <c r="M797" t="str">
        <f t="shared" si="38"/>
        <v>Jan-2025</v>
      </c>
      <c r="N797" t="s">
        <v>23</v>
      </c>
    </row>
    <row r="798" spans="1:14" x14ac:dyDescent="0.25">
      <c r="A798" t="s">
        <v>826</v>
      </c>
      <c r="B798" s="1">
        <v>45367</v>
      </c>
      <c r="D798">
        <v>19</v>
      </c>
      <c r="E798" t="s">
        <v>12</v>
      </c>
      <c r="F798" t="s">
        <v>57</v>
      </c>
      <c r="G798" t="s">
        <v>30</v>
      </c>
      <c r="H798">
        <v>14231</v>
      </c>
      <c r="I798">
        <v>19</v>
      </c>
      <c r="J798">
        <v>54</v>
      </c>
      <c r="K798">
        <f t="shared" si="36"/>
        <v>0</v>
      </c>
      <c r="L798" s="4">
        <f t="shared" ca="1" si="37"/>
        <v>25</v>
      </c>
      <c r="M798" t="str">
        <f t="shared" si="38"/>
        <v>Mar-2024</v>
      </c>
      <c r="N798" t="s">
        <v>19</v>
      </c>
    </row>
    <row r="799" spans="1:14" x14ac:dyDescent="0.25">
      <c r="A799" t="s">
        <v>827</v>
      </c>
      <c r="B799" s="1">
        <v>45547</v>
      </c>
      <c r="D799">
        <v>45</v>
      </c>
      <c r="E799" t="s">
        <v>21</v>
      </c>
      <c r="F799" t="s">
        <v>27</v>
      </c>
      <c r="G799" t="s">
        <v>18</v>
      </c>
      <c r="H799">
        <v>10387</v>
      </c>
      <c r="I799">
        <v>13</v>
      </c>
      <c r="J799">
        <v>49</v>
      </c>
      <c r="K799">
        <f t="shared" si="36"/>
        <v>0</v>
      </c>
      <c r="L799" s="4">
        <f t="shared" ca="1" si="37"/>
        <v>19</v>
      </c>
      <c r="M799" t="str">
        <f t="shared" si="38"/>
        <v>Sep-2024</v>
      </c>
      <c r="N799" t="s">
        <v>19</v>
      </c>
    </row>
    <row r="800" spans="1:14" x14ac:dyDescent="0.25">
      <c r="A800" t="s">
        <v>828</v>
      </c>
      <c r="B800" s="1">
        <v>45076</v>
      </c>
      <c r="D800">
        <v>52</v>
      </c>
      <c r="E800" t="s">
        <v>12</v>
      </c>
      <c r="F800" t="s">
        <v>13</v>
      </c>
      <c r="G800" t="s">
        <v>14</v>
      </c>
      <c r="H800">
        <v>20271</v>
      </c>
      <c r="I800">
        <v>29</v>
      </c>
      <c r="J800">
        <v>89</v>
      </c>
      <c r="K800">
        <f t="shared" si="36"/>
        <v>0</v>
      </c>
      <c r="L800" s="4">
        <f t="shared" ca="1" si="37"/>
        <v>35</v>
      </c>
      <c r="M800" t="str">
        <f t="shared" si="38"/>
        <v>May-2023</v>
      </c>
      <c r="N800" t="s">
        <v>19</v>
      </c>
    </row>
    <row r="801" spans="1:14" x14ac:dyDescent="0.25">
      <c r="A801" t="s">
        <v>829</v>
      </c>
      <c r="B801" s="1">
        <v>45038</v>
      </c>
      <c r="C801" s="1">
        <v>45518</v>
      </c>
      <c r="D801">
        <v>22</v>
      </c>
      <c r="E801" t="s">
        <v>21</v>
      </c>
      <c r="F801" t="s">
        <v>38</v>
      </c>
      <c r="G801" t="s">
        <v>18</v>
      </c>
      <c r="H801">
        <v>12784</v>
      </c>
      <c r="I801">
        <v>16</v>
      </c>
      <c r="J801">
        <v>51</v>
      </c>
      <c r="K801">
        <f t="shared" si="36"/>
        <v>1</v>
      </c>
      <c r="L801" s="4">
        <f t="shared" ca="1" si="37"/>
        <v>16</v>
      </c>
      <c r="M801" t="str">
        <f t="shared" si="38"/>
        <v>Apr-2023</v>
      </c>
      <c r="N801" t="s">
        <v>25</v>
      </c>
    </row>
    <row r="802" spans="1:14" x14ac:dyDescent="0.25">
      <c r="A802" t="s">
        <v>830</v>
      </c>
      <c r="B802" s="1">
        <v>45949</v>
      </c>
      <c r="D802">
        <v>43</v>
      </c>
      <c r="E802" t="s">
        <v>12</v>
      </c>
      <c r="F802" t="s">
        <v>29</v>
      </c>
      <c r="G802" t="s">
        <v>30</v>
      </c>
      <c r="H802">
        <v>749</v>
      </c>
      <c r="I802">
        <v>1</v>
      </c>
      <c r="J802">
        <v>28</v>
      </c>
      <c r="K802">
        <f t="shared" si="36"/>
        <v>0</v>
      </c>
      <c r="L802" s="4">
        <f t="shared" ca="1" si="37"/>
        <v>5</v>
      </c>
      <c r="M802" t="str">
        <f t="shared" si="38"/>
        <v>Oct-2025</v>
      </c>
      <c r="N802" t="s">
        <v>19</v>
      </c>
    </row>
    <row r="803" spans="1:14" x14ac:dyDescent="0.25">
      <c r="A803" t="s">
        <v>831</v>
      </c>
      <c r="B803" s="1">
        <v>45191</v>
      </c>
      <c r="D803">
        <v>25</v>
      </c>
      <c r="E803" t="s">
        <v>12</v>
      </c>
      <c r="F803" t="s">
        <v>57</v>
      </c>
      <c r="G803" t="s">
        <v>18</v>
      </c>
      <c r="H803">
        <v>19975</v>
      </c>
      <c r="I803">
        <v>25</v>
      </c>
      <c r="J803">
        <v>42</v>
      </c>
      <c r="K803">
        <f t="shared" si="36"/>
        <v>0</v>
      </c>
      <c r="L803" s="4">
        <f t="shared" ca="1" si="37"/>
        <v>31</v>
      </c>
      <c r="M803" t="str">
        <f t="shared" si="38"/>
        <v>Sep-2023</v>
      </c>
      <c r="N803" t="s">
        <v>19</v>
      </c>
    </row>
    <row r="804" spans="1:14" x14ac:dyDescent="0.25">
      <c r="A804" t="s">
        <v>832</v>
      </c>
      <c r="B804" s="1">
        <v>45502</v>
      </c>
      <c r="C804" s="1">
        <v>45652</v>
      </c>
      <c r="D804">
        <v>25</v>
      </c>
      <c r="E804" t="s">
        <v>12</v>
      </c>
      <c r="F804" t="s">
        <v>57</v>
      </c>
      <c r="G804" t="s">
        <v>18</v>
      </c>
      <c r="H804">
        <v>3995</v>
      </c>
      <c r="I804">
        <v>5</v>
      </c>
      <c r="J804">
        <v>53</v>
      </c>
      <c r="K804">
        <f t="shared" si="36"/>
        <v>1</v>
      </c>
      <c r="L804" s="4">
        <f t="shared" ca="1" si="37"/>
        <v>5</v>
      </c>
      <c r="M804" t="str">
        <f t="shared" si="38"/>
        <v>Jul-2024</v>
      </c>
      <c r="N804" t="s">
        <v>19</v>
      </c>
    </row>
    <row r="805" spans="1:14" x14ac:dyDescent="0.25">
      <c r="A805" t="s">
        <v>833</v>
      </c>
      <c r="B805" s="1">
        <v>44971</v>
      </c>
      <c r="D805">
        <v>33</v>
      </c>
      <c r="E805" t="s">
        <v>21</v>
      </c>
      <c r="F805" t="s">
        <v>47</v>
      </c>
      <c r="G805" t="s">
        <v>18</v>
      </c>
      <c r="H805">
        <v>26367</v>
      </c>
      <c r="I805">
        <v>33</v>
      </c>
      <c r="J805">
        <v>42</v>
      </c>
      <c r="K805">
        <f t="shared" si="36"/>
        <v>0</v>
      </c>
      <c r="L805" s="4">
        <f t="shared" ca="1" si="37"/>
        <v>38</v>
      </c>
      <c r="M805" t="str">
        <f t="shared" si="38"/>
        <v>Feb-2023</v>
      </c>
      <c r="N805" t="s">
        <v>19</v>
      </c>
    </row>
    <row r="806" spans="1:14" x14ac:dyDescent="0.25">
      <c r="A806" t="s">
        <v>834</v>
      </c>
      <c r="B806" s="1">
        <v>45124</v>
      </c>
      <c r="D806">
        <v>46</v>
      </c>
      <c r="E806" t="s">
        <v>21</v>
      </c>
      <c r="F806" t="s">
        <v>41</v>
      </c>
      <c r="G806" t="s">
        <v>18</v>
      </c>
      <c r="H806">
        <v>21573</v>
      </c>
      <c r="I806">
        <v>27</v>
      </c>
      <c r="J806">
        <v>76</v>
      </c>
      <c r="K806">
        <f t="shared" si="36"/>
        <v>0</v>
      </c>
      <c r="L806" s="4">
        <f t="shared" ca="1" si="37"/>
        <v>33</v>
      </c>
      <c r="M806" t="str">
        <f t="shared" si="38"/>
        <v>Jul-2023</v>
      </c>
      <c r="N806" t="s">
        <v>25</v>
      </c>
    </row>
    <row r="807" spans="1:14" x14ac:dyDescent="0.25">
      <c r="A807" t="s">
        <v>835</v>
      </c>
      <c r="B807" s="1">
        <v>45252</v>
      </c>
      <c r="C807" s="1">
        <v>45462</v>
      </c>
      <c r="D807">
        <v>53</v>
      </c>
      <c r="E807" t="s">
        <v>21</v>
      </c>
      <c r="F807" t="s">
        <v>29</v>
      </c>
      <c r="G807" t="s">
        <v>18</v>
      </c>
      <c r="H807">
        <v>5593</v>
      </c>
      <c r="I807">
        <v>7</v>
      </c>
      <c r="J807">
        <v>57</v>
      </c>
      <c r="K807">
        <f t="shared" si="36"/>
        <v>1</v>
      </c>
      <c r="L807" s="4">
        <f t="shared" ca="1" si="37"/>
        <v>7</v>
      </c>
      <c r="M807" t="str">
        <f t="shared" si="38"/>
        <v>Nov-2023</v>
      </c>
      <c r="N807" t="s">
        <v>19</v>
      </c>
    </row>
    <row r="808" spans="1:14" x14ac:dyDescent="0.25">
      <c r="A808" t="s">
        <v>836</v>
      </c>
      <c r="B808" s="1">
        <v>45802</v>
      </c>
      <c r="D808">
        <v>57</v>
      </c>
      <c r="E808" t="s">
        <v>12</v>
      </c>
      <c r="F808" t="s">
        <v>32</v>
      </c>
      <c r="G808" t="s">
        <v>30</v>
      </c>
      <c r="H808">
        <v>3745</v>
      </c>
      <c r="I808">
        <v>5</v>
      </c>
      <c r="J808">
        <v>47</v>
      </c>
      <c r="K808">
        <f t="shared" si="36"/>
        <v>0</v>
      </c>
      <c r="L808" s="4">
        <f t="shared" ca="1" si="37"/>
        <v>10</v>
      </c>
      <c r="M808" t="str">
        <f t="shared" si="38"/>
        <v>May-2025</v>
      </c>
      <c r="N808" t="s">
        <v>19</v>
      </c>
    </row>
    <row r="809" spans="1:14" x14ac:dyDescent="0.25">
      <c r="A809" t="s">
        <v>837</v>
      </c>
      <c r="B809" s="1">
        <v>45701</v>
      </c>
      <c r="D809">
        <v>41</v>
      </c>
      <c r="E809" t="s">
        <v>12</v>
      </c>
      <c r="F809" t="s">
        <v>47</v>
      </c>
      <c r="G809" t="s">
        <v>18</v>
      </c>
      <c r="H809">
        <v>6392</v>
      </c>
      <c r="I809">
        <v>8</v>
      </c>
      <c r="J809">
        <v>77</v>
      </c>
      <c r="K809">
        <f t="shared" si="36"/>
        <v>0</v>
      </c>
      <c r="L809" s="4">
        <f t="shared" ca="1" si="37"/>
        <v>14</v>
      </c>
      <c r="M809" t="str">
        <f t="shared" si="38"/>
        <v>Feb-2025</v>
      </c>
      <c r="N809" t="s">
        <v>19</v>
      </c>
    </row>
    <row r="810" spans="1:14" x14ac:dyDescent="0.25">
      <c r="A810" t="s">
        <v>838</v>
      </c>
      <c r="B810" s="1">
        <v>44998</v>
      </c>
      <c r="D810">
        <v>49</v>
      </c>
      <c r="E810" t="s">
        <v>15</v>
      </c>
      <c r="F810" t="s">
        <v>29</v>
      </c>
      <c r="G810" t="s">
        <v>30</v>
      </c>
      <c r="H810">
        <v>23968</v>
      </c>
      <c r="I810">
        <v>32</v>
      </c>
      <c r="J810">
        <v>100</v>
      </c>
      <c r="K810">
        <f t="shared" si="36"/>
        <v>0</v>
      </c>
      <c r="L810" s="4">
        <f t="shared" ca="1" si="37"/>
        <v>37</v>
      </c>
      <c r="M810" t="str">
        <f t="shared" si="38"/>
        <v>Mar-2023</v>
      </c>
      <c r="N810" t="s">
        <v>25</v>
      </c>
    </row>
    <row r="811" spans="1:14" x14ac:dyDescent="0.25">
      <c r="A811" t="s">
        <v>839</v>
      </c>
      <c r="B811" s="1">
        <v>45337</v>
      </c>
      <c r="D811">
        <v>50</v>
      </c>
      <c r="E811" t="s">
        <v>21</v>
      </c>
      <c r="F811" t="s">
        <v>22</v>
      </c>
      <c r="G811" t="s">
        <v>18</v>
      </c>
      <c r="H811">
        <v>15980</v>
      </c>
      <c r="I811">
        <v>20</v>
      </c>
      <c r="J811">
        <v>84</v>
      </c>
      <c r="K811">
        <f t="shared" si="36"/>
        <v>0</v>
      </c>
      <c r="L811" s="4">
        <f t="shared" ca="1" si="37"/>
        <v>26</v>
      </c>
      <c r="M811" t="str">
        <f t="shared" si="38"/>
        <v>Feb-2024</v>
      </c>
      <c r="N811" t="s">
        <v>19</v>
      </c>
    </row>
    <row r="812" spans="1:14" x14ac:dyDescent="0.25">
      <c r="A812" t="s">
        <v>840</v>
      </c>
      <c r="B812" s="1">
        <v>45107</v>
      </c>
      <c r="C812" s="1">
        <v>45197</v>
      </c>
      <c r="D812">
        <v>58</v>
      </c>
      <c r="E812" t="s">
        <v>12</v>
      </c>
      <c r="F812" t="s">
        <v>47</v>
      </c>
      <c r="G812" t="s">
        <v>30</v>
      </c>
      <c r="H812">
        <v>2247</v>
      </c>
      <c r="I812">
        <v>3</v>
      </c>
      <c r="J812">
        <v>12</v>
      </c>
      <c r="K812">
        <f t="shared" si="36"/>
        <v>1</v>
      </c>
      <c r="L812" s="4">
        <f t="shared" ca="1" si="37"/>
        <v>3</v>
      </c>
      <c r="M812" t="str">
        <f t="shared" si="38"/>
        <v>Jun-2023</v>
      </c>
      <c r="N812" t="s">
        <v>19</v>
      </c>
    </row>
    <row r="813" spans="1:14" x14ac:dyDescent="0.25">
      <c r="A813" t="s">
        <v>841</v>
      </c>
      <c r="B813" s="1">
        <v>45170</v>
      </c>
      <c r="D813">
        <v>54</v>
      </c>
      <c r="E813" t="s">
        <v>12</v>
      </c>
      <c r="F813" t="s">
        <v>41</v>
      </c>
      <c r="G813" t="s">
        <v>14</v>
      </c>
      <c r="H813">
        <v>18174</v>
      </c>
      <c r="I813">
        <v>26</v>
      </c>
      <c r="J813">
        <v>75</v>
      </c>
      <c r="K813">
        <f t="shared" si="36"/>
        <v>0</v>
      </c>
      <c r="L813" s="4">
        <f t="shared" ca="1" si="37"/>
        <v>31</v>
      </c>
      <c r="M813" t="str">
        <f t="shared" si="38"/>
        <v>Sep-2023</v>
      </c>
      <c r="N813" t="s">
        <v>25</v>
      </c>
    </row>
    <row r="814" spans="1:14" x14ac:dyDescent="0.25">
      <c r="A814" t="s">
        <v>842</v>
      </c>
      <c r="B814" s="1">
        <v>44972</v>
      </c>
      <c r="D814">
        <v>38</v>
      </c>
      <c r="E814" t="s">
        <v>21</v>
      </c>
      <c r="F814" t="s">
        <v>41</v>
      </c>
      <c r="G814" t="s">
        <v>18</v>
      </c>
      <c r="H814">
        <v>26367</v>
      </c>
      <c r="I814">
        <v>33</v>
      </c>
      <c r="J814">
        <v>51</v>
      </c>
      <c r="K814">
        <f t="shared" si="36"/>
        <v>0</v>
      </c>
      <c r="L814" s="4">
        <f t="shared" ca="1" si="37"/>
        <v>38</v>
      </c>
      <c r="M814" t="str">
        <f t="shared" si="38"/>
        <v>Feb-2023</v>
      </c>
      <c r="N814" t="s">
        <v>23</v>
      </c>
    </row>
    <row r="815" spans="1:14" x14ac:dyDescent="0.25">
      <c r="A815" t="s">
        <v>843</v>
      </c>
      <c r="B815" s="1">
        <v>45092</v>
      </c>
      <c r="D815">
        <v>36</v>
      </c>
      <c r="E815" t="s">
        <v>21</v>
      </c>
      <c r="F815" t="s">
        <v>13</v>
      </c>
      <c r="G815" t="s">
        <v>30</v>
      </c>
      <c r="H815">
        <v>21721</v>
      </c>
      <c r="I815">
        <v>29</v>
      </c>
      <c r="J815">
        <v>80</v>
      </c>
      <c r="K815">
        <f t="shared" si="36"/>
        <v>0</v>
      </c>
      <c r="L815" s="4">
        <f t="shared" ca="1" si="37"/>
        <v>34</v>
      </c>
      <c r="M815" t="str">
        <f t="shared" si="38"/>
        <v>Jun-2023</v>
      </c>
      <c r="N815" t="s">
        <v>15</v>
      </c>
    </row>
    <row r="816" spans="1:14" x14ac:dyDescent="0.25">
      <c r="A816" t="s">
        <v>844</v>
      </c>
      <c r="B816" s="1">
        <v>45009</v>
      </c>
      <c r="D816">
        <v>57</v>
      </c>
      <c r="E816" t="s">
        <v>12</v>
      </c>
      <c r="F816" t="s">
        <v>29</v>
      </c>
      <c r="G816" t="s">
        <v>30</v>
      </c>
      <c r="H816">
        <v>23219</v>
      </c>
      <c r="I816">
        <v>31</v>
      </c>
      <c r="J816">
        <v>67</v>
      </c>
      <c r="K816">
        <f t="shared" si="36"/>
        <v>0</v>
      </c>
      <c r="L816" s="4">
        <f t="shared" ca="1" si="37"/>
        <v>37</v>
      </c>
      <c r="M816" t="str">
        <f t="shared" si="38"/>
        <v>Mar-2023</v>
      </c>
      <c r="N816" t="s">
        <v>19</v>
      </c>
    </row>
    <row r="817" spans="1:14" x14ac:dyDescent="0.25">
      <c r="A817" t="s">
        <v>845</v>
      </c>
      <c r="B817" s="1">
        <v>45225</v>
      </c>
      <c r="D817">
        <v>57</v>
      </c>
      <c r="E817" t="s">
        <v>21</v>
      </c>
      <c r="F817" t="s">
        <v>22</v>
      </c>
      <c r="G817" t="s">
        <v>18</v>
      </c>
      <c r="H817">
        <v>19176</v>
      </c>
      <c r="I817">
        <v>24</v>
      </c>
      <c r="J817">
        <v>71</v>
      </c>
      <c r="K817">
        <f t="shared" si="36"/>
        <v>0</v>
      </c>
      <c r="L817" s="4">
        <f t="shared" ca="1" si="37"/>
        <v>30</v>
      </c>
      <c r="M817" t="str">
        <f t="shared" si="38"/>
        <v>Oct-2023</v>
      </c>
      <c r="N817" t="s">
        <v>23</v>
      </c>
    </row>
    <row r="818" spans="1:14" x14ac:dyDescent="0.25">
      <c r="A818" t="s">
        <v>846</v>
      </c>
      <c r="B818" s="1">
        <v>45457</v>
      </c>
      <c r="D818">
        <v>58</v>
      </c>
      <c r="E818" t="s">
        <v>12</v>
      </c>
      <c r="F818" t="s">
        <v>47</v>
      </c>
      <c r="G818" t="s">
        <v>14</v>
      </c>
      <c r="H818">
        <v>11184</v>
      </c>
      <c r="I818">
        <v>16</v>
      </c>
      <c r="J818">
        <v>61</v>
      </c>
      <c r="K818">
        <f t="shared" si="36"/>
        <v>0</v>
      </c>
      <c r="L818" s="4">
        <f t="shared" ca="1" si="37"/>
        <v>22</v>
      </c>
      <c r="M818" t="str">
        <f t="shared" si="38"/>
        <v>Jun-2024</v>
      </c>
      <c r="N818" t="s">
        <v>15</v>
      </c>
    </row>
    <row r="819" spans="1:14" x14ac:dyDescent="0.25">
      <c r="A819" t="s">
        <v>847</v>
      </c>
      <c r="B819" s="1">
        <v>45745</v>
      </c>
      <c r="D819">
        <v>59</v>
      </c>
      <c r="E819" t="s">
        <v>21</v>
      </c>
      <c r="F819" t="s">
        <v>22</v>
      </c>
      <c r="G819" t="s">
        <v>30</v>
      </c>
      <c r="H819">
        <v>5243</v>
      </c>
      <c r="I819">
        <v>7</v>
      </c>
      <c r="J819">
        <v>61</v>
      </c>
      <c r="K819">
        <f t="shared" si="36"/>
        <v>0</v>
      </c>
      <c r="L819" s="4">
        <f t="shared" ca="1" si="37"/>
        <v>12</v>
      </c>
      <c r="M819" t="str">
        <f t="shared" si="38"/>
        <v>Mar-2025</v>
      </c>
      <c r="N819" t="s">
        <v>19</v>
      </c>
    </row>
    <row r="820" spans="1:14" x14ac:dyDescent="0.25">
      <c r="A820" t="s">
        <v>848</v>
      </c>
      <c r="B820" s="1">
        <v>44896</v>
      </c>
      <c r="D820">
        <v>44</v>
      </c>
      <c r="E820" t="s">
        <v>21</v>
      </c>
      <c r="F820" t="s">
        <v>47</v>
      </c>
      <c r="G820" t="s">
        <v>18</v>
      </c>
      <c r="H820">
        <v>27965</v>
      </c>
      <c r="I820">
        <v>35</v>
      </c>
      <c r="J820">
        <v>38</v>
      </c>
      <c r="K820">
        <f t="shared" si="36"/>
        <v>0</v>
      </c>
      <c r="L820" s="4">
        <f t="shared" ca="1" si="37"/>
        <v>41</v>
      </c>
      <c r="M820" t="str">
        <f t="shared" si="38"/>
        <v>Dec-2022</v>
      </c>
      <c r="N820" t="s">
        <v>15</v>
      </c>
    </row>
    <row r="821" spans="1:14" x14ac:dyDescent="0.25">
      <c r="A821" t="s">
        <v>849</v>
      </c>
      <c r="B821" s="1">
        <v>44895</v>
      </c>
      <c r="D821">
        <v>38</v>
      </c>
      <c r="E821" t="s">
        <v>12</v>
      </c>
      <c r="F821" t="s">
        <v>47</v>
      </c>
      <c r="G821" t="s">
        <v>30</v>
      </c>
      <c r="H821">
        <v>26215</v>
      </c>
      <c r="I821">
        <v>35</v>
      </c>
      <c r="J821">
        <v>59</v>
      </c>
      <c r="K821">
        <f t="shared" si="36"/>
        <v>0</v>
      </c>
      <c r="L821" s="4">
        <f t="shared" ca="1" si="37"/>
        <v>41</v>
      </c>
      <c r="M821" t="str">
        <f t="shared" si="38"/>
        <v>Nov-2022</v>
      </c>
      <c r="N821" t="s">
        <v>19</v>
      </c>
    </row>
    <row r="822" spans="1:14" x14ac:dyDescent="0.25">
      <c r="A822" t="s">
        <v>850</v>
      </c>
      <c r="B822" s="1">
        <v>45102</v>
      </c>
      <c r="D822">
        <v>42</v>
      </c>
      <c r="E822" t="s">
        <v>21</v>
      </c>
      <c r="F822" t="s">
        <v>47</v>
      </c>
      <c r="G822" t="s">
        <v>14</v>
      </c>
      <c r="H822">
        <v>19572</v>
      </c>
      <c r="I822">
        <v>28</v>
      </c>
      <c r="J822">
        <v>63</v>
      </c>
      <c r="K822">
        <f t="shared" si="36"/>
        <v>0</v>
      </c>
      <c r="L822" s="4">
        <f t="shared" ca="1" si="37"/>
        <v>34</v>
      </c>
      <c r="M822" t="str">
        <f t="shared" si="38"/>
        <v>Jun-2023</v>
      </c>
      <c r="N822" t="s">
        <v>19</v>
      </c>
    </row>
    <row r="823" spans="1:14" x14ac:dyDescent="0.25">
      <c r="A823" t="s">
        <v>851</v>
      </c>
      <c r="B823" s="1">
        <v>44915</v>
      </c>
      <c r="D823">
        <v>18</v>
      </c>
      <c r="E823" t="s">
        <v>12</v>
      </c>
      <c r="F823" t="s">
        <v>17</v>
      </c>
      <c r="G823" t="s">
        <v>18</v>
      </c>
      <c r="H823">
        <v>27166</v>
      </c>
      <c r="I823">
        <v>34</v>
      </c>
      <c r="J823">
        <v>45</v>
      </c>
      <c r="K823">
        <f t="shared" si="36"/>
        <v>0</v>
      </c>
      <c r="L823" s="4">
        <f t="shared" ca="1" si="37"/>
        <v>40</v>
      </c>
      <c r="M823" t="str">
        <f t="shared" si="38"/>
        <v>Dec-2022</v>
      </c>
      <c r="N823" t="s">
        <v>19</v>
      </c>
    </row>
    <row r="824" spans="1:14" x14ac:dyDescent="0.25">
      <c r="A824" t="s">
        <v>852</v>
      </c>
      <c r="B824" s="1">
        <v>44945</v>
      </c>
      <c r="D824">
        <v>38</v>
      </c>
      <c r="E824" t="s">
        <v>21</v>
      </c>
      <c r="F824" t="s">
        <v>57</v>
      </c>
      <c r="G824" t="s">
        <v>18</v>
      </c>
      <c r="H824">
        <v>26367</v>
      </c>
      <c r="I824">
        <v>33</v>
      </c>
      <c r="J824">
        <v>51</v>
      </c>
      <c r="K824">
        <f t="shared" si="36"/>
        <v>0</v>
      </c>
      <c r="L824" s="4">
        <f t="shared" ca="1" si="37"/>
        <v>39</v>
      </c>
      <c r="M824" t="str">
        <f t="shared" si="38"/>
        <v>Jan-2023</v>
      </c>
      <c r="N824" t="s">
        <v>25</v>
      </c>
    </row>
    <row r="825" spans="1:14" x14ac:dyDescent="0.25">
      <c r="A825" t="s">
        <v>853</v>
      </c>
      <c r="B825" s="1">
        <v>45499</v>
      </c>
      <c r="D825">
        <v>31</v>
      </c>
      <c r="E825" t="s">
        <v>21</v>
      </c>
      <c r="F825" t="s">
        <v>47</v>
      </c>
      <c r="G825" t="s">
        <v>30</v>
      </c>
      <c r="H825">
        <v>11235</v>
      </c>
      <c r="I825">
        <v>15</v>
      </c>
      <c r="J825">
        <v>43</v>
      </c>
      <c r="K825">
        <f t="shared" si="36"/>
        <v>0</v>
      </c>
      <c r="L825" s="4">
        <f t="shared" ca="1" si="37"/>
        <v>20</v>
      </c>
      <c r="M825" t="str">
        <f t="shared" si="38"/>
        <v>Jul-2024</v>
      </c>
      <c r="N825" t="s">
        <v>15</v>
      </c>
    </row>
    <row r="826" spans="1:14" x14ac:dyDescent="0.25">
      <c r="A826" t="s">
        <v>854</v>
      </c>
      <c r="B826" s="1">
        <v>45692</v>
      </c>
      <c r="D826">
        <v>35</v>
      </c>
      <c r="E826" t="s">
        <v>21</v>
      </c>
      <c r="F826" t="s">
        <v>38</v>
      </c>
      <c r="G826" t="s">
        <v>18</v>
      </c>
      <c r="H826">
        <v>7191</v>
      </c>
      <c r="I826">
        <v>9</v>
      </c>
      <c r="J826">
        <v>75</v>
      </c>
      <c r="K826">
        <f t="shared" si="36"/>
        <v>0</v>
      </c>
      <c r="L826" s="4">
        <f t="shared" ca="1" si="37"/>
        <v>14</v>
      </c>
      <c r="M826" t="str">
        <f t="shared" si="38"/>
        <v>Feb-2025</v>
      </c>
      <c r="N826" t="s">
        <v>25</v>
      </c>
    </row>
    <row r="827" spans="1:14" x14ac:dyDescent="0.25">
      <c r="A827" t="s">
        <v>855</v>
      </c>
      <c r="B827" s="1">
        <v>45847</v>
      </c>
      <c r="D827">
        <v>52</v>
      </c>
      <c r="E827" t="s">
        <v>21</v>
      </c>
      <c r="F827" t="s">
        <v>41</v>
      </c>
      <c r="G827" t="s">
        <v>14</v>
      </c>
      <c r="H827">
        <v>2097</v>
      </c>
      <c r="I827">
        <v>3</v>
      </c>
      <c r="J827">
        <v>65</v>
      </c>
      <c r="K827">
        <f t="shared" si="36"/>
        <v>0</v>
      </c>
      <c r="L827" s="4">
        <f t="shared" ca="1" si="37"/>
        <v>9</v>
      </c>
      <c r="M827" t="str">
        <f t="shared" si="38"/>
        <v>Jul-2025</v>
      </c>
      <c r="N827" t="s">
        <v>19</v>
      </c>
    </row>
    <row r="828" spans="1:14" x14ac:dyDescent="0.25">
      <c r="A828" t="s">
        <v>856</v>
      </c>
      <c r="B828" s="1">
        <v>45727</v>
      </c>
      <c r="C828" s="1">
        <v>45757</v>
      </c>
      <c r="D828">
        <v>24</v>
      </c>
      <c r="E828" t="s">
        <v>21</v>
      </c>
      <c r="F828" t="s">
        <v>29</v>
      </c>
      <c r="G828" t="s">
        <v>18</v>
      </c>
      <c r="H828">
        <v>799</v>
      </c>
      <c r="I828">
        <v>1</v>
      </c>
      <c r="J828">
        <v>100</v>
      </c>
      <c r="K828">
        <f t="shared" si="36"/>
        <v>1</v>
      </c>
      <c r="L828" s="4">
        <f t="shared" ca="1" si="37"/>
        <v>1</v>
      </c>
      <c r="M828" t="str">
        <f t="shared" si="38"/>
        <v>Mar-2025</v>
      </c>
      <c r="N828" t="s">
        <v>19</v>
      </c>
    </row>
    <row r="829" spans="1:14" x14ac:dyDescent="0.25">
      <c r="A829" t="s">
        <v>857</v>
      </c>
      <c r="B829" s="1">
        <v>45336</v>
      </c>
      <c r="D829">
        <v>25</v>
      </c>
      <c r="E829" t="s">
        <v>21</v>
      </c>
      <c r="F829" t="s">
        <v>32</v>
      </c>
      <c r="G829" t="s">
        <v>14</v>
      </c>
      <c r="H829">
        <v>13980</v>
      </c>
      <c r="I829">
        <v>20</v>
      </c>
      <c r="J829">
        <v>50</v>
      </c>
      <c r="K829">
        <f t="shared" si="36"/>
        <v>0</v>
      </c>
      <c r="L829" s="4">
        <f t="shared" ca="1" si="37"/>
        <v>26</v>
      </c>
      <c r="M829" t="str">
        <f t="shared" si="38"/>
        <v>Feb-2024</v>
      </c>
      <c r="N829" t="s">
        <v>19</v>
      </c>
    </row>
    <row r="830" spans="1:14" x14ac:dyDescent="0.25">
      <c r="A830" t="s">
        <v>858</v>
      </c>
      <c r="B830" s="1">
        <v>45914</v>
      </c>
      <c r="C830" s="1">
        <v>45944</v>
      </c>
      <c r="D830">
        <v>53</v>
      </c>
      <c r="E830" t="s">
        <v>12</v>
      </c>
      <c r="F830" t="s">
        <v>17</v>
      </c>
      <c r="G830" t="s">
        <v>18</v>
      </c>
      <c r="H830">
        <v>799</v>
      </c>
      <c r="I830">
        <v>1</v>
      </c>
      <c r="J830">
        <v>100</v>
      </c>
      <c r="K830">
        <f t="shared" si="36"/>
        <v>1</v>
      </c>
      <c r="L830" s="4">
        <f t="shared" ca="1" si="37"/>
        <v>1</v>
      </c>
      <c r="M830" t="str">
        <f t="shared" si="38"/>
        <v>Sep-2025</v>
      </c>
      <c r="N830" t="s">
        <v>23</v>
      </c>
    </row>
    <row r="831" spans="1:14" x14ac:dyDescent="0.25">
      <c r="A831" t="s">
        <v>859</v>
      </c>
      <c r="B831" s="1">
        <v>45508</v>
      </c>
      <c r="D831">
        <v>30</v>
      </c>
      <c r="E831" t="s">
        <v>21</v>
      </c>
      <c r="F831" t="s">
        <v>57</v>
      </c>
      <c r="G831" t="s">
        <v>18</v>
      </c>
      <c r="H831">
        <v>11985</v>
      </c>
      <c r="I831">
        <v>15</v>
      </c>
      <c r="J831">
        <v>67</v>
      </c>
      <c r="K831">
        <f t="shared" si="36"/>
        <v>0</v>
      </c>
      <c r="L831" s="4">
        <f t="shared" ca="1" si="37"/>
        <v>20</v>
      </c>
      <c r="M831" t="str">
        <f t="shared" si="38"/>
        <v>Aug-2024</v>
      </c>
      <c r="N831" t="s">
        <v>19</v>
      </c>
    </row>
    <row r="832" spans="1:14" x14ac:dyDescent="0.25">
      <c r="A832" t="s">
        <v>860</v>
      </c>
      <c r="B832" s="1">
        <v>45350</v>
      </c>
      <c r="D832">
        <v>22</v>
      </c>
      <c r="E832" t="s">
        <v>12</v>
      </c>
      <c r="F832" t="s">
        <v>27</v>
      </c>
      <c r="G832" t="s">
        <v>18</v>
      </c>
      <c r="H832">
        <v>15980</v>
      </c>
      <c r="I832">
        <v>20</v>
      </c>
      <c r="J832">
        <v>49</v>
      </c>
      <c r="K832">
        <f t="shared" si="36"/>
        <v>0</v>
      </c>
      <c r="L832" s="4">
        <f t="shared" ca="1" si="37"/>
        <v>25</v>
      </c>
      <c r="M832" t="str">
        <f t="shared" si="38"/>
        <v>Feb-2024</v>
      </c>
      <c r="N832" t="s">
        <v>19</v>
      </c>
    </row>
    <row r="833" spans="1:14" x14ac:dyDescent="0.25">
      <c r="A833" t="s">
        <v>861</v>
      </c>
      <c r="B833" s="1">
        <v>45775</v>
      </c>
      <c r="D833">
        <v>26</v>
      </c>
      <c r="E833" t="s">
        <v>21</v>
      </c>
      <c r="F833" t="s">
        <v>47</v>
      </c>
      <c r="G833" t="s">
        <v>30</v>
      </c>
      <c r="H833">
        <v>4494</v>
      </c>
      <c r="I833">
        <v>6</v>
      </c>
      <c r="J833">
        <v>80</v>
      </c>
      <c r="K833">
        <f t="shared" si="36"/>
        <v>0</v>
      </c>
      <c r="L833" s="4">
        <f t="shared" ca="1" si="37"/>
        <v>11</v>
      </c>
      <c r="M833" t="str">
        <f t="shared" si="38"/>
        <v>Apr-2025</v>
      </c>
      <c r="N833" t="s">
        <v>23</v>
      </c>
    </row>
    <row r="834" spans="1:14" x14ac:dyDescent="0.25">
      <c r="A834" t="s">
        <v>862</v>
      </c>
      <c r="B834" s="1">
        <v>45433</v>
      </c>
      <c r="D834">
        <v>54</v>
      </c>
      <c r="E834" t="s">
        <v>21</v>
      </c>
      <c r="F834" t="s">
        <v>32</v>
      </c>
      <c r="G834" t="s">
        <v>18</v>
      </c>
      <c r="H834">
        <v>13583</v>
      </c>
      <c r="I834">
        <v>17</v>
      </c>
      <c r="J834">
        <v>95</v>
      </c>
      <c r="K834">
        <f t="shared" si="36"/>
        <v>0</v>
      </c>
      <c r="L834" s="4">
        <f t="shared" ca="1" si="37"/>
        <v>23</v>
      </c>
      <c r="M834" t="str">
        <f t="shared" si="38"/>
        <v>May-2024</v>
      </c>
      <c r="N834" t="s">
        <v>23</v>
      </c>
    </row>
    <row r="835" spans="1:14" x14ac:dyDescent="0.25">
      <c r="A835" t="s">
        <v>863</v>
      </c>
      <c r="B835" s="1">
        <v>45063</v>
      </c>
      <c r="D835">
        <v>57</v>
      </c>
      <c r="E835" t="s">
        <v>21</v>
      </c>
      <c r="F835" t="s">
        <v>57</v>
      </c>
      <c r="G835" t="s">
        <v>18</v>
      </c>
      <c r="H835">
        <v>23171</v>
      </c>
      <c r="I835">
        <v>29</v>
      </c>
      <c r="J835">
        <v>58</v>
      </c>
      <c r="K835">
        <f t="shared" ref="K835:K898" si="39">IF(ISBLANK(C835), 0, 1)</f>
        <v>0</v>
      </c>
      <c r="L835" s="4">
        <f t="shared" ref="L835:L898" ca="1" si="40">ROUNDUP(DATEDIF(B835, IF(ISBLANK(C835), TODAY(), C835), "d")/30, 0)</f>
        <v>35</v>
      </c>
      <c r="M835" t="str">
        <f t="shared" ref="M835:M898" si="41">TEXT(B835, "mmm-yyyy")</f>
        <v>May-2023</v>
      </c>
      <c r="N835" t="s">
        <v>15</v>
      </c>
    </row>
    <row r="836" spans="1:14" x14ac:dyDescent="0.25">
      <c r="A836" t="s">
        <v>864</v>
      </c>
      <c r="B836" s="1">
        <v>45954</v>
      </c>
      <c r="D836">
        <v>38</v>
      </c>
      <c r="E836" t="s">
        <v>21</v>
      </c>
      <c r="F836" t="s">
        <v>29</v>
      </c>
      <c r="G836" t="s">
        <v>18</v>
      </c>
      <c r="H836">
        <v>799</v>
      </c>
      <c r="I836">
        <v>1</v>
      </c>
      <c r="J836">
        <v>49</v>
      </c>
      <c r="K836">
        <f t="shared" si="39"/>
        <v>0</v>
      </c>
      <c r="L836" s="4">
        <f t="shared" ca="1" si="40"/>
        <v>5</v>
      </c>
      <c r="M836" t="str">
        <f t="shared" si="41"/>
        <v>Oct-2025</v>
      </c>
      <c r="N836" t="s">
        <v>19</v>
      </c>
    </row>
    <row r="837" spans="1:14" x14ac:dyDescent="0.25">
      <c r="A837" t="s">
        <v>865</v>
      </c>
      <c r="B837" s="1">
        <v>45736</v>
      </c>
      <c r="D837">
        <v>47</v>
      </c>
      <c r="E837" t="s">
        <v>21</v>
      </c>
      <c r="F837" t="s">
        <v>13</v>
      </c>
      <c r="G837" t="s">
        <v>30</v>
      </c>
      <c r="H837">
        <v>5243</v>
      </c>
      <c r="I837">
        <v>7</v>
      </c>
      <c r="J837">
        <v>45</v>
      </c>
      <c r="K837">
        <f t="shared" si="39"/>
        <v>0</v>
      </c>
      <c r="L837" s="4">
        <f t="shared" ca="1" si="40"/>
        <v>13</v>
      </c>
      <c r="M837" t="str">
        <f t="shared" si="41"/>
        <v>Mar-2025</v>
      </c>
      <c r="N837" t="s">
        <v>23</v>
      </c>
    </row>
    <row r="838" spans="1:14" x14ac:dyDescent="0.25">
      <c r="A838" t="s">
        <v>866</v>
      </c>
      <c r="B838" s="1">
        <v>45500</v>
      </c>
      <c r="D838">
        <v>40</v>
      </c>
      <c r="E838" t="s">
        <v>21</v>
      </c>
      <c r="F838" t="s">
        <v>47</v>
      </c>
      <c r="G838" t="s">
        <v>30</v>
      </c>
      <c r="H838">
        <v>11235</v>
      </c>
      <c r="I838">
        <v>15</v>
      </c>
      <c r="J838">
        <v>76</v>
      </c>
      <c r="K838">
        <f t="shared" si="39"/>
        <v>0</v>
      </c>
      <c r="L838" s="4">
        <f t="shared" ca="1" si="40"/>
        <v>20</v>
      </c>
      <c r="M838" t="str">
        <f t="shared" si="41"/>
        <v>Jul-2024</v>
      </c>
      <c r="N838" t="s">
        <v>23</v>
      </c>
    </row>
    <row r="839" spans="1:14" x14ac:dyDescent="0.25">
      <c r="A839" t="s">
        <v>867</v>
      </c>
      <c r="B839" s="1">
        <v>45233</v>
      </c>
      <c r="D839">
        <v>38</v>
      </c>
      <c r="E839" t="s">
        <v>21</v>
      </c>
      <c r="F839" t="s">
        <v>47</v>
      </c>
      <c r="G839" t="s">
        <v>30</v>
      </c>
      <c r="H839">
        <v>17976</v>
      </c>
      <c r="I839">
        <v>24</v>
      </c>
      <c r="J839">
        <v>92</v>
      </c>
      <c r="K839">
        <f t="shared" si="39"/>
        <v>0</v>
      </c>
      <c r="L839" s="4">
        <f t="shared" ca="1" si="40"/>
        <v>29</v>
      </c>
      <c r="M839" t="str">
        <f t="shared" si="41"/>
        <v>Nov-2023</v>
      </c>
      <c r="N839" t="s">
        <v>19</v>
      </c>
    </row>
    <row r="840" spans="1:14" x14ac:dyDescent="0.25">
      <c r="A840" t="s">
        <v>868</v>
      </c>
      <c r="B840" s="1">
        <v>44932</v>
      </c>
      <c r="C840" s="1">
        <v>45112</v>
      </c>
      <c r="D840">
        <v>34</v>
      </c>
      <c r="E840" t="s">
        <v>21</v>
      </c>
      <c r="F840" t="s">
        <v>29</v>
      </c>
      <c r="G840" t="s">
        <v>18</v>
      </c>
      <c r="H840">
        <v>4794</v>
      </c>
      <c r="I840">
        <v>6</v>
      </c>
      <c r="J840">
        <v>36</v>
      </c>
      <c r="K840">
        <f t="shared" si="39"/>
        <v>1</v>
      </c>
      <c r="L840" s="4">
        <f t="shared" ca="1" si="40"/>
        <v>6</v>
      </c>
      <c r="M840" t="str">
        <f t="shared" si="41"/>
        <v>Jan-2023</v>
      </c>
      <c r="N840" t="s">
        <v>15</v>
      </c>
    </row>
    <row r="841" spans="1:14" x14ac:dyDescent="0.25">
      <c r="A841" t="s">
        <v>869</v>
      </c>
      <c r="B841" s="1">
        <v>45241</v>
      </c>
      <c r="D841">
        <v>49</v>
      </c>
      <c r="E841" t="s">
        <v>12</v>
      </c>
      <c r="F841" t="s">
        <v>22</v>
      </c>
      <c r="G841" t="s">
        <v>30</v>
      </c>
      <c r="H841">
        <v>17976</v>
      </c>
      <c r="I841">
        <v>24</v>
      </c>
      <c r="J841">
        <v>53</v>
      </c>
      <c r="K841">
        <f t="shared" si="39"/>
        <v>0</v>
      </c>
      <c r="L841" s="4">
        <f t="shared" ca="1" si="40"/>
        <v>29</v>
      </c>
      <c r="M841" t="str">
        <f t="shared" si="41"/>
        <v>Nov-2023</v>
      </c>
      <c r="N841" t="s">
        <v>23</v>
      </c>
    </row>
    <row r="842" spans="1:14" x14ac:dyDescent="0.25">
      <c r="A842" t="s">
        <v>870</v>
      </c>
      <c r="B842" s="1">
        <v>45087</v>
      </c>
      <c r="D842">
        <v>43</v>
      </c>
      <c r="E842" t="s">
        <v>15</v>
      </c>
      <c r="F842" t="s">
        <v>41</v>
      </c>
      <c r="G842" t="s">
        <v>18</v>
      </c>
      <c r="H842">
        <v>23171</v>
      </c>
      <c r="I842">
        <v>29</v>
      </c>
      <c r="J842">
        <v>86</v>
      </c>
      <c r="K842">
        <f t="shared" si="39"/>
        <v>0</v>
      </c>
      <c r="L842" s="4">
        <f t="shared" ca="1" si="40"/>
        <v>34</v>
      </c>
      <c r="M842" t="str">
        <f t="shared" si="41"/>
        <v>Jun-2023</v>
      </c>
      <c r="N842" t="s">
        <v>19</v>
      </c>
    </row>
    <row r="843" spans="1:14" x14ac:dyDescent="0.25">
      <c r="A843" t="s">
        <v>871</v>
      </c>
      <c r="B843" s="1">
        <v>45744</v>
      </c>
      <c r="D843">
        <v>26</v>
      </c>
      <c r="E843" t="s">
        <v>12</v>
      </c>
      <c r="F843" t="s">
        <v>13</v>
      </c>
      <c r="G843" t="s">
        <v>18</v>
      </c>
      <c r="H843">
        <v>5593</v>
      </c>
      <c r="I843">
        <v>7</v>
      </c>
      <c r="J843">
        <v>40</v>
      </c>
      <c r="K843">
        <f t="shared" si="39"/>
        <v>0</v>
      </c>
      <c r="L843" s="4">
        <f t="shared" ca="1" si="40"/>
        <v>12</v>
      </c>
      <c r="M843" t="str">
        <f t="shared" si="41"/>
        <v>Mar-2025</v>
      </c>
      <c r="N843" t="s">
        <v>19</v>
      </c>
    </row>
    <row r="844" spans="1:14" x14ac:dyDescent="0.25">
      <c r="A844" t="s">
        <v>872</v>
      </c>
      <c r="B844" s="1">
        <v>45366</v>
      </c>
      <c r="D844">
        <v>18</v>
      </c>
      <c r="E844" t="s">
        <v>21</v>
      </c>
      <c r="F844" t="s">
        <v>38</v>
      </c>
      <c r="G844" t="s">
        <v>30</v>
      </c>
      <c r="H844">
        <v>14231</v>
      </c>
      <c r="I844">
        <v>19</v>
      </c>
      <c r="J844">
        <v>70</v>
      </c>
      <c r="K844">
        <f t="shared" si="39"/>
        <v>0</v>
      </c>
      <c r="L844" s="4">
        <f t="shared" ca="1" si="40"/>
        <v>25</v>
      </c>
      <c r="M844" t="str">
        <f t="shared" si="41"/>
        <v>Mar-2024</v>
      </c>
      <c r="N844" t="s">
        <v>19</v>
      </c>
    </row>
    <row r="845" spans="1:14" x14ac:dyDescent="0.25">
      <c r="A845" t="s">
        <v>873</v>
      </c>
      <c r="B845" s="1">
        <v>45324</v>
      </c>
      <c r="D845">
        <v>52</v>
      </c>
      <c r="E845" t="s">
        <v>21</v>
      </c>
      <c r="F845" t="s">
        <v>29</v>
      </c>
      <c r="G845" t="s">
        <v>14</v>
      </c>
      <c r="H845">
        <v>14679</v>
      </c>
      <c r="I845">
        <v>21</v>
      </c>
      <c r="J845">
        <v>38</v>
      </c>
      <c r="K845">
        <f t="shared" si="39"/>
        <v>0</v>
      </c>
      <c r="L845" s="4">
        <f t="shared" ca="1" si="40"/>
        <v>26</v>
      </c>
      <c r="M845" t="str">
        <f t="shared" si="41"/>
        <v>Feb-2024</v>
      </c>
      <c r="N845" t="s">
        <v>23</v>
      </c>
    </row>
    <row r="846" spans="1:14" x14ac:dyDescent="0.25">
      <c r="A846" t="s">
        <v>874</v>
      </c>
      <c r="B846" s="1">
        <v>45407</v>
      </c>
      <c r="D846">
        <v>53</v>
      </c>
      <c r="E846" t="s">
        <v>21</v>
      </c>
      <c r="F846" t="s">
        <v>57</v>
      </c>
      <c r="G846" t="s">
        <v>18</v>
      </c>
      <c r="H846">
        <v>14382</v>
      </c>
      <c r="I846">
        <v>18</v>
      </c>
      <c r="J846">
        <v>81</v>
      </c>
      <c r="K846">
        <f t="shared" si="39"/>
        <v>0</v>
      </c>
      <c r="L846" s="4">
        <f t="shared" ca="1" si="40"/>
        <v>23</v>
      </c>
      <c r="M846" t="str">
        <f t="shared" si="41"/>
        <v>Apr-2024</v>
      </c>
      <c r="N846" t="s">
        <v>19</v>
      </c>
    </row>
    <row r="847" spans="1:14" x14ac:dyDescent="0.25">
      <c r="A847" t="s">
        <v>875</v>
      </c>
      <c r="B847" s="1">
        <v>44995</v>
      </c>
      <c r="D847">
        <v>28</v>
      </c>
      <c r="E847" t="s">
        <v>12</v>
      </c>
      <c r="F847" t="s">
        <v>13</v>
      </c>
      <c r="G847" t="s">
        <v>18</v>
      </c>
      <c r="H847">
        <v>25568</v>
      </c>
      <c r="I847">
        <v>32</v>
      </c>
      <c r="J847">
        <v>62</v>
      </c>
      <c r="K847">
        <f t="shared" si="39"/>
        <v>0</v>
      </c>
      <c r="L847" s="4">
        <f t="shared" ca="1" si="40"/>
        <v>37</v>
      </c>
      <c r="M847" t="str">
        <f t="shared" si="41"/>
        <v>Mar-2023</v>
      </c>
      <c r="N847" t="s">
        <v>19</v>
      </c>
    </row>
    <row r="848" spans="1:14" x14ac:dyDescent="0.25">
      <c r="A848" t="s">
        <v>876</v>
      </c>
      <c r="B848" s="1">
        <v>45451</v>
      </c>
      <c r="D848">
        <v>32</v>
      </c>
      <c r="E848" t="s">
        <v>21</v>
      </c>
      <c r="F848" t="s">
        <v>57</v>
      </c>
      <c r="G848" t="s">
        <v>14</v>
      </c>
      <c r="H848">
        <v>11883</v>
      </c>
      <c r="I848">
        <v>17</v>
      </c>
      <c r="J848">
        <v>42</v>
      </c>
      <c r="K848">
        <f t="shared" si="39"/>
        <v>0</v>
      </c>
      <c r="L848" s="4">
        <f t="shared" ca="1" si="40"/>
        <v>22</v>
      </c>
      <c r="M848" t="str">
        <f t="shared" si="41"/>
        <v>Jun-2024</v>
      </c>
      <c r="N848" t="s">
        <v>19</v>
      </c>
    </row>
    <row r="849" spans="1:14" x14ac:dyDescent="0.25">
      <c r="A849" t="s">
        <v>877</v>
      </c>
      <c r="B849" s="1">
        <v>45811</v>
      </c>
      <c r="D849">
        <v>50</v>
      </c>
      <c r="E849" t="s">
        <v>12</v>
      </c>
      <c r="F849" t="s">
        <v>32</v>
      </c>
      <c r="G849" t="s">
        <v>18</v>
      </c>
      <c r="H849">
        <v>3995</v>
      </c>
      <c r="I849">
        <v>5</v>
      </c>
      <c r="J849">
        <v>63</v>
      </c>
      <c r="K849">
        <f t="shared" si="39"/>
        <v>0</v>
      </c>
      <c r="L849" s="4">
        <f t="shared" ca="1" si="40"/>
        <v>10</v>
      </c>
      <c r="M849" t="str">
        <f t="shared" si="41"/>
        <v>Jun-2025</v>
      </c>
      <c r="N849" t="s">
        <v>23</v>
      </c>
    </row>
    <row r="850" spans="1:14" x14ac:dyDescent="0.25">
      <c r="A850" t="s">
        <v>878</v>
      </c>
      <c r="B850" s="1">
        <v>45846</v>
      </c>
      <c r="D850">
        <v>35</v>
      </c>
      <c r="E850" t="s">
        <v>21</v>
      </c>
      <c r="F850" t="s">
        <v>29</v>
      </c>
      <c r="G850" t="s">
        <v>18</v>
      </c>
      <c r="H850">
        <v>2397</v>
      </c>
      <c r="I850">
        <v>3</v>
      </c>
      <c r="J850">
        <v>58</v>
      </c>
      <c r="K850">
        <f t="shared" si="39"/>
        <v>0</v>
      </c>
      <c r="L850" s="4">
        <f t="shared" ca="1" si="40"/>
        <v>9</v>
      </c>
      <c r="M850" t="str">
        <f t="shared" si="41"/>
        <v>Jul-2025</v>
      </c>
      <c r="N850" t="s">
        <v>19</v>
      </c>
    </row>
    <row r="851" spans="1:14" x14ac:dyDescent="0.25">
      <c r="A851" t="s">
        <v>879</v>
      </c>
      <c r="B851" s="1">
        <v>45763</v>
      </c>
      <c r="D851">
        <v>49</v>
      </c>
      <c r="E851" t="s">
        <v>21</v>
      </c>
      <c r="F851" t="s">
        <v>57</v>
      </c>
      <c r="G851" t="s">
        <v>14</v>
      </c>
      <c r="H851">
        <v>4194</v>
      </c>
      <c r="I851">
        <v>6</v>
      </c>
      <c r="J851">
        <v>70</v>
      </c>
      <c r="K851">
        <f t="shared" si="39"/>
        <v>0</v>
      </c>
      <c r="L851" s="4">
        <f t="shared" ca="1" si="40"/>
        <v>12</v>
      </c>
      <c r="M851" t="str">
        <f t="shared" si="41"/>
        <v>Apr-2025</v>
      </c>
      <c r="N851" t="s">
        <v>19</v>
      </c>
    </row>
    <row r="852" spans="1:14" x14ac:dyDescent="0.25">
      <c r="A852" t="s">
        <v>880</v>
      </c>
      <c r="B852" s="1">
        <v>45947</v>
      </c>
      <c r="D852">
        <v>29</v>
      </c>
      <c r="E852" t="s">
        <v>12</v>
      </c>
      <c r="F852" t="s">
        <v>32</v>
      </c>
      <c r="G852" t="s">
        <v>18</v>
      </c>
      <c r="H852">
        <v>799</v>
      </c>
      <c r="I852">
        <v>1</v>
      </c>
      <c r="J852">
        <v>59</v>
      </c>
      <c r="K852">
        <f t="shared" si="39"/>
        <v>0</v>
      </c>
      <c r="L852" s="4">
        <f t="shared" ca="1" si="40"/>
        <v>5</v>
      </c>
      <c r="M852" t="str">
        <f t="shared" si="41"/>
        <v>Oct-2025</v>
      </c>
      <c r="N852" t="s">
        <v>19</v>
      </c>
    </row>
    <row r="853" spans="1:14" x14ac:dyDescent="0.25">
      <c r="A853" t="s">
        <v>881</v>
      </c>
      <c r="B853" s="1">
        <v>44970</v>
      </c>
      <c r="D853">
        <v>31</v>
      </c>
      <c r="E853" t="s">
        <v>21</v>
      </c>
      <c r="F853" t="s">
        <v>17</v>
      </c>
      <c r="G853" t="s">
        <v>14</v>
      </c>
      <c r="H853">
        <v>23067</v>
      </c>
      <c r="I853">
        <v>33</v>
      </c>
      <c r="J853">
        <v>47</v>
      </c>
      <c r="K853">
        <f t="shared" si="39"/>
        <v>0</v>
      </c>
      <c r="L853" s="4">
        <f t="shared" ca="1" si="40"/>
        <v>38</v>
      </c>
      <c r="M853" t="str">
        <f t="shared" si="41"/>
        <v>Feb-2023</v>
      </c>
      <c r="N853" t="s">
        <v>23</v>
      </c>
    </row>
    <row r="854" spans="1:14" x14ac:dyDescent="0.25">
      <c r="A854" t="s">
        <v>882</v>
      </c>
      <c r="B854" s="1">
        <v>45759</v>
      </c>
      <c r="D854">
        <v>51</v>
      </c>
      <c r="E854" t="s">
        <v>12</v>
      </c>
      <c r="F854" t="s">
        <v>38</v>
      </c>
      <c r="G854" t="s">
        <v>30</v>
      </c>
      <c r="H854">
        <v>4494</v>
      </c>
      <c r="I854">
        <v>6</v>
      </c>
      <c r="J854">
        <v>78</v>
      </c>
      <c r="K854">
        <f t="shared" si="39"/>
        <v>0</v>
      </c>
      <c r="L854" s="4">
        <f t="shared" ca="1" si="40"/>
        <v>12</v>
      </c>
      <c r="M854" t="str">
        <f t="shared" si="41"/>
        <v>Apr-2025</v>
      </c>
      <c r="N854" t="s">
        <v>23</v>
      </c>
    </row>
    <row r="855" spans="1:14" x14ac:dyDescent="0.25">
      <c r="A855" t="s">
        <v>883</v>
      </c>
      <c r="B855" s="1">
        <v>45125</v>
      </c>
      <c r="C855" s="1">
        <v>45365</v>
      </c>
      <c r="D855">
        <v>43</v>
      </c>
      <c r="E855" t="s">
        <v>12</v>
      </c>
      <c r="F855" t="s">
        <v>17</v>
      </c>
      <c r="G855" t="s">
        <v>18</v>
      </c>
      <c r="H855">
        <v>6392</v>
      </c>
      <c r="I855">
        <v>8</v>
      </c>
      <c r="J855">
        <v>86</v>
      </c>
      <c r="K855">
        <f t="shared" si="39"/>
        <v>1</v>
      </c>
      <c r="L855" s="4">
        <f t="shared" ca="1" si="40"/>
        <v>8</v>
      </c>
      <c r="M855" t="str">
        <f t="shared" si="41"/>
        <v>Jul-2023</v>
      </c>
      <c r="N855" t="s">
        <v>15</v>
      </c>
    </row>
    <row r="856" spans="1:14" x14ac:dyDescent="0.25">
      <c r="A856" t="s">
        <v>884</v>
      </c>
      <c r="B856" s="1">
        <v>45683</v>
      </c>
      <c r="D856">
        <v>43</v>
      </c>
      <c r="E856" t="s">
        <v>21</v>
      </c>
      <c r="F856" t="s">
        <v>38</v>
      </c>
      <c r="G856" t="s">
        <v>14</v>
      </c>
      <c r="H856">
        <v>6291</v>
      </c>
      <c r="I856">
        <v>9</v>
      </c>
      <c r="J856">
        <v>72</v>
      </c>
      <c r="K856">
        <f t="shared" si="39"/>
        <v>0</v>
      </c>
      <c r="L856" s="4">
        <f t="shared" ca="1" si="40"/>
        <v>14</v>
      </c>
      <c r="M856" t="str">
        <f t="shared" si="41"/>
        <v>Jan-2025</v>
      </c>
      <c r="N856" t="s">
        <v>19</v>
      </c>
    </row>
    <row r="857" spans="1:14" x14ac:dyDescent="0.25">
      <c r="A857" t="s">
        <v>885</v>
      </c>
      <c r="B857" s="1">
        <v>45735</v>
      </c>
      <c r="D857">
        <v>18</v>
      </c>
      <c r="E857" t="s">
        <v>12</v>
      </c>
      <c r="F857" t="s">
        <v>57</v>
      </c>
      <c r="G857" t="s">
        <v>18</v>
      </c>
      <c r="H857">
        <v>5593</v>
      </c>
      <c r="I857">
        <v>7</v>
      </c>
      <c r="J857">
        <v>89</v>
      </c>
      <c r="K857">
        <f t="shared" si="39"/>
        <v>0</v>
      </c>
      <c r="L857" s="4">
        <f t="shared" ca="1" si="40"/>
        <v>13</v>
      </c>
      <c r="M857" t="str">
        <f t="shared" si="41"/>
        <v>Mar-2025</v>
      </c>
      <c r="N857" t="s">
        <v>19</v>
      </c>
    </row>
    <row r="858" spans="1:14" x14ac:dyDescent="0.25">
      <c r="A858" t="s">
        <v>886</v>
      </c>
      <c r="B858" s="1">
        <v>45331</v>
      </c>
      <c r="D858">
        <v>53</v>
      </c>
      <c r="E858" t="s">
        <v>21</v>
      </c>
      <c r="F858" t="s">
        <v>41</v>
      </c>
      <c r="G858" t="s">
        <v>30</v>
      </c>
      <c r="H858">
        <v>15729</v>
      </c>
      <c r="I858">
        <v>21</v>
      </c>
      <c r="J858">
        <v>58</v>
      </c>
      <c r="K858">
        <f t="shared" si="39"/>
        <v>0</v>
      </c>
      <c r="L858" s="4">
        <f t="shared" ca="1" si="40"/>
        <v>26</v>
      </c>
      <c r="M858" t="str">
        <f t="shared" si="41"/>
        <v>Feb-2024</v>
      </c>
      <c r="N858" t="s">
        <v>25</v>
      </c>
    </row>
    <row r="859" spans="1:14" x14ac:dyDescent="0.25">
      <c r="A859" t="s">
        <v>887</v>
      </c>
      <c r="B859" s="1">
        <v>45692</v>
      </c>
      <c r="C859" s="1">
        <v>45842</v>
      </c>
      <c r="D859">
        <v>47</v>
      </c>
      <c r="E859" t="s">
        <v>21</v>
      </c>
      <c r="F859" t="s">
        <v>27</v>
      </c>
      <c r="G859" t="s">
        <v>14</v>
      </c>
      <c r="H859">
        <v>3495</v>
      </c>
      <c r="I859">
        <v>5</v>
      </c>
      <c r="J859">
        <v>39</v>
      </c>
      <c r="K859">
        <f t="shared" si="39"/>
        <v>1</v>
      </c>
      <c r="L859" s="4">
        <f t="shared" ca="1" si="40"/>
        <v>5</v>
      </c>
      <c r="M859" t="str">
        <f t="shared" si="41"/>
        <v>Feb-2025</v>
      </c>
      <c r="N859" t="s">
        <v>23</v>
      </c>
    </row>
    <row r="860" spans="1:14" x14ac:dyDescent="0.25">
      <c r="A860" t="s">
        <v>888</v>
      </c>
      <c r="B860" s="1">
        <v>44960</v>
      </c>
      <c r="D860">
        <v>54</v>
      </c>
      <c r="E860" t="s">
        <v>21</v>
      </c>
      <c r="F860" t="s">
        <v>13</v>
      </c>
      <c r="G860" t="s">
        <v>18</v>
      </c>
      <c r="H860">
        <v>26367</v>
      </c>
      <c r="I860">
        <v>33</v>
      </c>
      <c r="J860">
        <v>76</v>
      </c>
      <c r="K860">
        <f t="shared" si="39"/>
        <v>0</v>
      </c>
      <c r="L860" s="4">
        <f t="shared" ca="1" si="40"/>
        <v>38</v>
      </c>
      <c r="M860" t="str">
        <f t="shared" si="41"/>
        <v>Feb-2023</v>
      </c>
      <c r="N860" t="s">
        <v>19</v>
      </c>
    </row>
    <row r="861" spans="1:14" x14ac:dyDescent="0.25">
      <c r="A861" t="s">
        <v>889</v>
      </c>
      <c r="B861" s="1">
        <v>45371</v>
      </c>
      <c r="D861">
        <v>49</v>
      </c>
      <c r="E861" t="s">
        <v>12</v>
      </c>
      <c r="F861" t="s">
        <v>32</v>
      </c>
      <c r="G861" t="s">
        <v>18</v>
      </c>
      <c r="H861">
        <v>15181</v>
      </c>
      <c r="I861">
        <v>19</v>
      </c>
      <c r="J861">
        <v>47</v>
      </c>
      <c r="K861">
        <f t="shared" si="39"/>
        <v>0</v>
      </c>
      <c r="L861" s="4">
        <f t="shared" ca="1" si="40"/>
        <v>25</v>
      </c>
      <c r="M861" t="str">
        <f t="shared" si="41"/>
        <v>Mar-2024</v>
      </c>
      <c r="N861" t="s">
        <v>19</v>
      </c>
    </row>
    <row r="862" spans="1:14" x14ac:dyDescent="0.25">
      <c r="A862" t="s">
        <v>890</v>
      </c>
      <c r="B862" s="1">
        <v>45679</v>
      </c>
      <c r="D862">
        <v>39</v>
      </c>
      <c r="E862" t="s">
        <v>21</v>
      </c>
      <c r="F862" t="s">
        <v>13</v>
      </c>
      <c r="G862" t="s">
        <v>18</v>
      </c>
      <c r="H862">
        <v>7191</v>
      </c>
      <c r="I862">
        <v>9</v>
      </c>
      <c r="J862">
        <v>60</v>
      </c>
      <c r="K862">
        <f t="shared" si="39"/>
        <v>0</v>
      </c>
      <c r="L862" s="4">
        <f t="shared" ca="1" si="40"/>
        <v>14</v>
      </c>
      <c r="M862" t="str">
        <f t="shared" si="41"/>
        <v>Jan-2025</v>
      </c>
      <c r="N862" t="s">
        <v>19</v>
      </c>
    </row>
    <row r="863" spans="1:14" x14ac:dyDescent="0.25">
      <c r="A863" t="s">
        <v>891</v>
      </c>
      <c r="B863" s="1">
        <v>45049</v>
      </c>
      <c r="D863">
        <v>50</v>
      </c>
      <c r="E863" t="s">
        <v>21</v>
      </c>
      <c r="F863" t="s">
        <v>57</v>
      </c>
      <c r="G863" t="s">
        <v>14</v>
      </c>
      <c r="H863">
        <v>20970</v>
      </c>
      <c r="I863">
        <v>30</v>
      </c>
      <c r="J863">
        <v>45</v>
      </c>
      <c r="K863">
        <f t="shared" si="39"/>
        <v>0</v>
      </c>
      <c r="L863" s="4">
        <f t="shared" ca="1" si="40"/>
        <v>35</v>
      </c>
      <c r="M863" t="str">
        <f t="shared" si="41"/>
        <v>May-2023</v>
      </c>
      <c r="N863" t="s">
        <v>19</v>
      </c>
    </row>
    <row r="864" spans="1:14" x14ac:dyDescent="0.25">
      <c r="A864" t="s">
        <v>892</v>
      </c>
      <c r="B864" s="1">
        <v>44985</v>
      </c>
      <c r="D864">
        <v>33</v>
      </c>
      <c r="E864" t="s">
        <v>12</v>
      </c>
      <c r="F864" t="s">
        <v>17</v>
      </c>
      <c r="G864" t="s">
        <v>18</v>
      </c>
      <c r="H864">
        <v>25568</v>
      </c>
      <c r="I864">
        <v>32</v>
      </c>
      <c r="J864">
        <v>81</v>
      </c>
      <c r="K864">
        <f t="shared" si="39"/>
        <v>0</v>
      </c>
      <c r="L864" s="4">
        <f t="shared" ca="1" si="40"/>
        <v>38</v>
      </c>
      <c r="M864" t="str">
        <f t="shared" si="41"/>
        <v>Feb-2023</v>
      </c>
      <c r="N864" t="s">
        <v>19</v>
      </c>
    </row>
    <row r="865" spans="1:14" x14ac:dyDescent="0.25">
      <c r="A865" t="s">
        <v>893</v>
      </c>
      <c r="B865" s="1">
        <v>45233</v>
      </c>
      <c r="D865">
        <v>51</v>
      </c>
      <c r="E865" t="s">
        <v>21</v>
      </c>
      <c r="F865" t="s">
        <v>17</v>
      </c>
      <c r="G865" t="s">
        <v>18</v>
      </c>
      <c r="H865">
        <v>19176</v>
      </c>
      <c r="I865">
        <v>24</v>
      </c>
      <c r="J865">
        <v>51</v>
      </c>
      <c r="K865">
        <f t="shared" si="39"/>
        <v>0</v>
      </c>
      <c r="L865" s="4">
        <f t="shared" ca="1" si="40"/>
        <v>29</v>
      </c>
      <c r="M865" t="str">
        <f t="shared" si="41"/>
        <v>Nov-2023</v>
      </c>
      <c r="N865" t="s">
        <v>23</v>
      </c>
    </row>
    <row r="866" spans="1:14" x14ac:dyDescent="0.25">
      <c r="A866" t="s">
        <v>894</v>
      </c>
      <c r="B866" s="1">
        <v>45726</v>
      </c>
      <c r="D866">
        <v>54</v>
      </c>
      <c r="E866" t="s">
        <v>12</v>
      </c>
      <c r="F866" t="s">
        <v>22</v>
      </c>
      <c r="G866" t="s">
        <v>14</v>
      </c>
      <c r="H866">
        <v>4893</v>
      </c>
      <c r="I866">
        <v>7</v>
      </c>
      <c r="J866">
        <v>69</v>
      </c>
      <c r="K866">
        <f t="shared" si="39"/>
        <v>0</v>
      </c>
      <c r="L866" s="4">
        <f t="shared" ca="1" si="40"/>
        <v>13</v>
      </c>
      <c r="M866" t="str">
        <f t="shared" si="41"/>
        <v>Mar-2025</v>
      </c>
      <c r="N866" t="s">
        <v>19</v>
      </c>
    </row>
    <row r="867" spans="1:14" x14ac:dyDescent="0.25">
      <c r="A867" t="s">
        <v>895</v>
      </c>
      <c r="B867" s="1">
        <v>44933</v>
      </c>
      <c r="D867">
        <v>19</v>
      </c>
      <c r="E867" t="s">
        <v>21</v>
      </c>
      <c r="F867" t="s">
        <v>38</v>
      </c>
      <c r="G867" t="s">
        <v>14</v>
      </c>
      <c r="H867">
        <v>23766</v>
      </c>
      <c r="I867">
        <v>34</v>
      </c>
      <c r="J867">
        <v>58</v>
      </c>
      <c r="K867">
        <f t="shared" si="39"/>
        <v>0</v>
      </c>
      <c r="L867" s="4">
        <f t="shared" ca="1" si="40"/>
        <v>39</v>
      </c>
      <c r="M867" t="str">
        <f t="shared" si="41"/>
        <v>Jan-2023</v>
      </c>
      <c r="N867" t="s">
        <v>25</v>
      </c>
    </row>
    <row r="868" spans="1:14" x14ac:dyDescent="0.25">
      <c r="A868" t="s">
        <v>896</v>
      </c>
      <c r="B868" s="1">
        <v>45862</v>
      </c>
      <c r="D868">
        <v>25</v>
      </c>
      <c r="E868" t="s">
        <v>21</v>
      </c>
      <c r="F868" t="s">
        <v>27</v>
      </c>
      <c r="G868" t="s">
        <v>18</v>
      </c>
      <c r="H868">
        <v>2397</v>
      </c>
      <c r="I868">
        <v>3</v>
      </c>
      <c r="J868">
        <v>51</v>
      </c>
      <c r="K868">
        <f t="shared" si="39"/>
        <v>0</v>
      </c>
      <c r="L868" s="4">
        <f t="shared" ca="1" si="40"/>
        <v>8</v>
      </c>
      <c r="M868" t="str">
        <f t="shared" si="41"/>
        <v>Jul-2025</v>
      </c>
      <c r="N868" t="s">
        <v>23</v>
      </c>
    </row>
    <row r="869" spans="1:14" x14ac:dyDescent="0.25">
      <c r="A869" t="s">
        <v>897</v>
      </c>
      <c r="B869" s="1">
        <v>45348</v>
      </c>
      <c r="D869">
        <v>45</v>
      </c>
      <c r="E869" t="s">
        <v>21</v>
      </c>
      <c r="F869" t="s">
        <v>41</v>
      </c>
      <c r="G869" t="s">
        <v>18</v>
      </c>
      <c r="H869">
        <v>15980</v>
      </c>
      <c r="I869">
        <v>20</v>
      </c>
      <c r="J869">
        <v>48</v>
      </c>
      <c r="K869">
        <f t="shared" si="39"/>
        <v>0</v>
      </c>
      <c r="L869" s="4">
        <f t="shared" ca="1" si="40"/>
        <v>25</v>
      </c>
      <c r="M869" t="str">
        <f t="shared" si="41"/>
        <v>Feb-2024</v>
      </c>
      <c r="N869" t="s">
        <v>19</v>
      </c>
    </row>
    <row r="870" spans="1:14" x14ac:dyDescent="0.25">
      <c r="A870" t="s">
        <v>898</v>
      </c>
      <c r="B870" s="1">
        <v>45039</v>
      </c>
      <c r="D870">
        <v>32</v>
      </c>
      <c r="E870" t="s">
        <v>12</v>
      </c>
      <c r="F870" t="s">
        <v>38</v>
      </c>
      <c r="G870" t="s">
        <v>14</v>
      </c>
      <c r="H870">
        <v>20970</v>
      </c>
      <c r="I870">
        <v>30</v>
      </c>
      <c r="J870">
        <v>49</v>
      </c>
      <c r="K870">
        <f t="shared" si="39"/>
        <v>0</v>
      </c>
      <c r="L870" s="4">
        <f t="shared" ca="1" si="40"/>
        <v>36</v>
      </c>
      <c r="M870" t="str">
        <f t="shared" si="41"/>
        <v>Apr-2023</v>
      </c>
      <c r="N870" t="s">
        <v>25</v>
      </c>
    </row>
    <row r="871" spans="1:14" x14ac:dyDescent="0.25">
      <c r="A871" t="s">
        <v>899</v>
      </c>
      <c r="B871" s="1">
        <v>45119</v>
      </c>
      <c r="D871">
        <v>47</v>
      </c>
      <c r="E871" t="s">
        <v>12</v>
      </c>
      <c r="F871" t="s">
        <v>27</v>
      </c>
      <c r="G871" t="s">
        <v>30</v>
      </c>
      <c r="H871">
        <v>20972</v>
      </c>
      <c r="I871">
        <v>28</v>
      </c>
      <c r="J871">
        <v>42</v>
      </c>
      <c r="K871">
        <f t="shared" si="39"/>
        <v>0</v>
      </c>
      <c r="L871" s="4">
        <f t="shared" ca="1" si="40"/>
        <v>33</v>
      </c>
      <c r="M871" t="str">
        <f t="shared" si="41"/>
        <v>Jul-2023</v>
      </c>
      <c r="N871" t="s">
        <v>25</v>
      </c>
    </row>
    <row r="872" spans="1:14" x14ac:dyDescent="0.25">
      <c r="A872" t="s">
        <v>900</v>
      </c>
      <c r="B872" s="1">
        <v>45524</v>
      </c>
      <c r="D872">
        <v>19</v>
      </c>
      <c r="E872" t="s">
        <v>12</v>
      </c>
      <c r="F872" t="s">
        <v>47</v>
      </c>
      <c r="G872" t="s">
        <v>14</v>
      </c>
      <c r="H872">
        <v>9786</v>
      </c>
      <c r="I872">
        <v>14</v>
      </c>
      <c r="J872">
        <v>72</v>
      </c>
      <c r="K872">
        <f t="shared" si="39"/>
        <v>0</v>
      </c>
      <c r="L872" s="4">
        <f t="shared" ca="1" si="40"/>
        <v>20</v>
      </c>
      <c r="M872" t="str">
        <f t="shared" si="41"/>
        <v>Aug-2024</v>
      </c>
      <c r="N872" t="s">
        <v>19</v>
      </c>
    </row>
    <row r="873" spans="1:14" x14ac:dyDescent="0.25">
      <c r="A873" t="s">
        <v>901</v>
      </c>
      <c r="B873" s="1">
        <v>44888</v>
      </c>
      <c r="D873">
        <v>32</v>
      </c>
      <c r="E873" t="s">
        <v>21</v>
      </c>
      <c r="F873" t="s">
        <v>22</v>
      </c>
      <c r="G873" t="s">
        <v>18</v>
      </c>
      <c r="H873">
        <v>27965</v>
      </c>
      <c r="I873">
        <v>35</v>
      </c>
      <c r="J873">
        <v>73</v>
      </c>
      <c r="K873">
        <f t="shared" si="39"/>
        <v>0</v>
      </c>
      <c r="L873" s="4">
        <f t="shared" ca="1" si="40"/>
        <v>41</v>
      </c>
      <c r="M873" t="str">
        <f t="shared" si="41"/>
        <v>Nov-2022</v>
      </c>
      <c r="N873" t="s">
        <v>15</v>
      </c>
    </row>
    <row r="874" spans="1:14" x14ac:dyDescent="0.25">
      <c r="A874" t="s">
        <v>902</v>
      </c>
      <c r="B874" s="1">
        <v>44910</v>
      </c>
      <c r="D874">
        <v>40</v>
      </c>
      <c r="E874" t="s">
        <v>21</v>
      </c>
      <c r="F874" t="s">
        <v>57</v>
      </c>
      <c r="G874" t="s">
        <v>14</v>
      </c>
      <c r="H874">
        <v>24465</v>
      </c>
      <c r="I874">
        <v>35</v>
      </c>
      <c r="J874">
        <v>43</v>
      </c>
      <c r="K874">
        <f t="shared" si="39"/>
        <v>0</v>
      </c>
      <c r="L874" s="4">
        <f t="shared" ca="1" si="40"/>
        <v>40</v>
      </c>
      <c r="M874" t="str">
        <f t="shared" si="41"/>
        <v>Dec-2022</v>
      </c>
      <c r="N874" t="s">
        <v>19</v>
      </c>
    </row>
    <row r="875" spans="1:14" x14ac:dyDescent="0.25">
      <c r="A875" t="s">
        <v>903</v>
      </c>
      <c r="B875" s="1">
        <v>44961</v>
      </c>
      <c r="D875">
        <v>37</v>
      </c>
      <c r="E875" t="s">
        <v>12</v>
      </c>
      <c r="F875" t="s">
        <v>13</v>
      </c>
      <c r="G875" t="s">
        <v>18</v>
      </c>
      <c r="H875">
        <v>26367</v>
      </c>
      <c r="I875">
        <v>33</v>
      </c>
      <c r="J875">
        <v>85</v>
      </c>
      <c r="K875">
        <f t="shared" si="39"/>
        <v>0</v>
      </c>
      <c r="L875" s="4">
        <f t="shared" ca="1" si="40"/>
        <v>38</v>
      </c>
      <c r="M875" t="str">
        <f t="shared" si="41"/>
        <v>Feb-2023</v>
      </c>
      <c r="N875" t="s">
        <v>19</v>
      </c>
    </row>
    <row r="876" spans="1:14" x14ac:dyDescent="0.25">
      <c r="A876" t="s">
        <v>904</v>
      </c>
      <c r="B876" s="1">
        <v>45108</v>
      </c>
      <c r="D876">
        <v>54</v>
      </c>
      <c r="E876" t="s">
        <v>21</v>
      </c>
      <c r="F876" t="s">
        <v>32</v>
      </c>
      <c r="G876" t="s">
        <v>18</v>
      </c>
      <c r="H876">
        <v>22372</v>
      </c>
      <c r="I876">
        <v>28</v>
      </c>
      <c r="J876">
        <v>28</v>
      </c>
      <c r="K876">
        <f t="shared" si="39"/>
        <v>0</v>
      </c>
      <c r="L876" s="4">
        <f t="shared" ca="1" si="40"/>
        <v>33</v>
      </c>
      <c r="M876" t="str">
        <f t="shared" si="41"/>
        <v>Jul-2023</v>
      </c>
      <c r="N876" t="s">
        <v>23</v>
      </c>
    </row>
    <row r="877" spans="1:14" x14ac:dyDescent="0.25">
      <c r="A877" t="s">
        <v>905</v>
      </c>
      <c r="B877" s="1">
        <v>45297</v>
      </c>
      <c r="D877">
        <v>36</v>
      </c>
      <c r="E877" t="s">
        <v>12</v>
      </c>
      <c r="F877" t="s">
        <v>32</v>
      </c>
      <c r="G877" t="s">
        <v>30</v>
      </c>
      <c r="H877">
        <v>16478</v>
      </c>
      <c r="I877">
        <v>22</v>
      </c>
      <c r="J877">
        <v>95</v>
      </c>
      <c r="K877">
        <f t="shared" si="39"/>
        <v>0</v>
      </c>
      <c r="L877" s="4">
        <f t="shared" ca="1" si="40"/>
        <v>27</v>
      </c>
      <c r="M877" t="str">
        <f t="shared" si="41"/>
        <v>Jan-2024</v>
      </c>
      <c r="N877" t="s">
        <v>23</v>
      </c>
    </row>
    <row r="878" spans="1:14" x14ac:dyDescent="0.25">
      <c r="A878" t="s">
        <v>906</v>
      </c>
      <c r="B878" s="1">
        <v>45349</v>
      </c>
      <c r="D878">
        <v>49</v>
      </c>
      <c r="E878" t="s">
        <v>12</v>
      </c>
      <c r="F878" t="s">
        <v>41</v>
      </c>
      <c r="G878" t="s">
        <v>14</v>
      </c>
      <c r="H878">
        <v>13980</v>
      </c>
      <c r="I878">
        <v>20</v>
      </c>
      <c r="J878">
        <v>53</v>
      </c>
      <c r="K878">
        <f t="shared" si="39"/>
        <v>0</v>
      </c>
      <c r="L878" s="4">
        <f t="shared" ca="1" si="40"/>
        <v>25</v>
      </c>
      <c r="M878" t="str">
        <f t="shared" si="41"/>
        <v>Feb-2024</v>
      </c>
      <c r="N878" t="s">
        <v>19</v>
      </c>
    </row>
    <row r="879" spans="1:14" x14ac:dyDescent="0.25">
      <c r="A879" t="s">
        <v>907</v>
      </c>
      <c r="B879" s="1">
        <v>45360</v>
      </c>
      <c r="D879">
        <v>52</v>
      </c>
      <c r="E879" t="s">
        <v>21</v>
      </c>
      <c r="F879" t="s">
        <v>57</v>
      </c>
      <c r="G879" t="s">
        <v>30</v>
      </c>
      <c r="H879">
        <v>14980</v>
      </c>
      <c r="I879">
        <v>20</v>
      </c>
      <c r="J879">
        <v>67</v>
      </c>
      <c r="K879">
        <f t="shared" si="39"/>
        <v>0</v>
      </c>
      <c r="L879" s="4">
        <f t="shared" ca="1" si="40"/>
        <v>25</v>
      </c>
      <c r="M879" t="str">
        <f t="shared" si="41"/>
        <v>Mar-2024</v>
      </c>
      <c r="N879" t="s">
        <v>19</v>
      </c>
    </row>
    <row r="880" spans="1:14" x14ac:dyDescent="0.25">
      <c r="A880" t="s">
        <v>908</v>
      </c>
      <c r="B880" s="1">
        <v>45365</v>
      </c>
      <c r="D880">
        <v>27</v>
      </c>
      <c r="E880" t="s">
        <v>12</v>
      </c>
      <c r="F880" t="s">
        <v>29</v>
      </c>
      <c r="G880" t="s">
        <v>14</v>
      </c>
      <c r="H880">
        <v>13281</v>
      </c>
      <c r="I880">
        <v>19</v>
      </c>
      <c r="J880">
        <v>46</v>
      </c>
      <c r="K880">
        <f t="shared" si="39"/>
        <v>0</v>
      </c>
      <c r="L880" s="4">
        <f t="shared" ca="1" si="40"/>
        <v>25</v>
      </c>
      <c r="M880" t="str">
        <f t="shared" si="41"/>
        <v>Mar-2024</v>
      </c>
      <c r="N880" t="s">
        <v>19</v>
      </c>
    </row>
    <row r="881" spans="1:14" x14ac:dyDescent="0.25">
      <c r="A881" t="s">
        <v>909</v>
      </c>
      <c r="B881" s="1">
        <v>45526</v>
      </c>
      <c r="D881">
        <v>43</v>
      </c>
      <c r="E881" t="s">
        <v>15</v>
      </c>
      <c r="F881" t="s">
        <v>17</v>
      </c>
      <c r="G881" t="s">
        <v>14</v>
      </c>
      <c r="H881">
        <v>9786</v>
      </c>
      <c r="I881">
        <v>14</v>
      </c>
      <c r="J881">
        <v>50</v>
      </c>
      <c r="K881">
        <f t="shared" si="39"/>
        <v>0</v>
      </c>
      <c r="L881" s="4">
        <f t="shared" ca="1" si="40"/>
        <v>20</v>
      </c>
      <c r="M881" t="str">
        <f t="shared" si="41"/>
        <v>Aug-2024</v>
      </c>
      <c r="N881" t="s">
        <v>19</v>
      </c>
    </row>
    <row r="882" spans="1:14" x14ac:dyDescent="0.25">
      <c r="A882" t="s">
        <v>910</v>
      </c>
      <c r="B882" s="1">
        <v>45412</v>
      </c>
      <c r="C882" s="1">
        <v>45622</v>
      </c>
      <c r="D882">
        <v>28</v>
      </c>
      <c r="E882" t="s">
        <v>12</v>
      </c>
      <c r="F882" t="s">
        <v>38</v>
      </c>
      <c r="G882" t="s">
        <v>18</v>
      </c>
      <c r="H882">
        <v>5593</v>
      </c>
      <c r="I882">
        <v>7</v>
      </c>
      <c r="J882">
        <v>46</v>
      </c>
      <c r="K882">
        <f t="shared" si="39"/>
        <v>1</v>
      </c>
      <c r="L882" s="4">
        <f t="shared" ca="1" si="40"/>
        <v>7</v>
      </c>
      <c r="M882" t="str">
        <f t="shared" si="41"/>
        <v>Apr-2024</v>
      </c>
      <c r="N882" t="s">
        <v>23</v>
      </c>
    </row>
    <row r="883" spans="1:14" x14ac:dyDescent="0.25">
      <c r="A883" t="s">
        <v>911</v>
      </c>
      <c r="B883" s="1">
        <v>45175</v>
      </c>
      <c r="D883">
        <v>56</v>
      </c>
      <c r="E883" t="s">
        <v>12</v>
      </c>
      <c r="F883" t="s">
        <v>27</v>
      </c>
      <c r="G883" t="s">
        <v>18</v>
      </c>
      <c r="H883">
        <v>20774</v>
      </c>
      <c r="I883">
        <v>26</v>
      </c>
      <c r="J883">
        <v>46</v>
      </c>
      <c r="K883">
        <f t="shared" si="39"/>
        <v>0</v>
      </c>
      <c r="L883" s="4">
        <f t="shared" ca="1" si="40"/>
        <v>31</v>
      </c>
      <c r="M883" t="str">
        <f t="shared" si="41"/>
        <v>Sep-2023</v>
      </c>
      <c r="N883" t="s">
        <v>23</v>
      </c>
    </row>
    <row r="884" spans="1:14" x14ac:dyDescent="0.25">
      <c r="A884" t="s">
        <v>912</v>
      </c>
      <c r="B884" s="1">
        <v>45725</v>
      </c>
      <c r="D884">
        <v>45</v>
      </c>
      <c r="E884" t="s">
        <v>21</v>
      </c>
      <c r="F884" t="s">
        <v>57</v>
      </c>
      <c r="G884" t="s">
        <v>30</v>
      </c>
      <c r="H884">
        <v>5243</v>
      </c>
      <c r="I884">
        <v>7</v>
      </c>
      <c r="J884">
        <v>56</v>
      </c>
      <c r="K884">
        <f t="shared" si="39"/>
        <v>0</v>
      </c>
      <c r="L884" s="4">
        <f t="shared" ca="1" si="40"/>
        <v>13</v>
      </c>
      <c r="M884" t="str">
        <f t="shared" si="41"/>
        <v>Mar-2025</v>
      </c>
      <c r="N884" t="s">
        <v>19</v>
      </c>
    </row>
    <row r="885" spans="1:14" x14ac:dyDescent="0.25">
      <c r="A885" t="s">
        <v>913</v>
      </c>
      <c r="B885" s="1">
        <v>45634</v>
      </c>
      <c r="D885">
        <v>41</v>
      </c>
      <c r="E885" t="s">
        <v>12</v>
      </c>
      <c r="F885" t="s">
        <v>57</v>
      </c>
      <c r="G885" t="s">
        <v>14</v>
      </c>
      <c r="H885">
        <v>6990</v>
      </c>
      <c r="I885">
        <v>10</v>
      </c>
      <c r="J885">
        <v>70</v>
      </c>
      <c r="K885">
        <f t="shared" si="39"/>
        <v>0</v>
      </c>
      <c r="L885" s="4">
        <f t="shared" ca="1" si="40"/>
        <v>16</v>
      </c>
      <c r="M885" t="str">
        <f t="shared" si="41"/>
        <v>Dec-2024</v>
      </c>
      <c r="N885" t="s">
        <v>25</v>
      </c>
    </row>
    <row r="886" spans="1:14" x14ac:dyDescent="0.25">
      <c r="A886" t="s">
        <v>914</v>
      </c>
      <c r="B886" s="1">
        <v>45255</v>
      </c>
      <c r="D886">
        <v>43</v>
      </c>
      <c r="E886" t="s">
        <v>12</v>
      </c>
      <c r="F886" t="s">
        <v>13</v>
      </c>
      <c r="G886" t="s">
        <v>14</v>
      </c>
      <c r="H886">
        <v>16077</v>
      </c>
      <c r="I886">
        <v>23</v>
      </c>
      <c r="J886">
        <v>75</v>
      </c>
      <c r="K886">
        <f t="shared" si="39"/>
        <v>0</v>
      </c>
      <c r="L886" s="4">
        <f t="shared" ca="1" si="40"/>
        <v>29</v>
      </c>
      <c r="M886" t="str">
        <f t="shared" si="41"/>
        <v>Nov-2023</v>
      </c>
      <c r="N886" t="s">
        <v>15</v>
      </c>
    </row>
    <row r="887" spans="1:14" x14ac:dyDescent="0.25">
      <c r="A887" t="s">
        <v>915</v>
      </c>
      <c r="B887" s="1">
        <v>45119</v>
      </c>
      <c r="D887">
        <v>43</v>
      </c>
      <c r="E887" t="s">
        <v>12</v>
      </c>
      <c r="F887" t="s">
        <v>13</v>
      </c>
      <c r="G887" t="s">
        <v>30</v>
      </c>
      <c r="H887">
        <v>20972</v>
      </c>
      <c r="I887">
        <v>28</v>
      </c>
      <c r="J887">
        <v>52</v>
      </c>
      <c r="K887">
        <f t="shared" si="39"/>
        <v>0</v>
      </c>
      <c r="L887" s="4">
        <f t="shared" ca="1" si="40"/>
        <v>33</v>
      </c>
      <c r="M887" t="str">
        <f t="shared" si="41"/>
        <v>Jul-2023</v>
      </c>
      <c r="N887" t="s">
        <v>19</v>
      </c>
    </row>
    <row r="888" spans="1:14" x14ac:dyDescent="0.25">
      <c r="A888" t="s">
        <v>916</v>
      </c>
      <c r="B888" s="1">
        <v>45342</v>
      </c>
      <c r="D888">
        <v>59</v>
      </c>
      <c r="E888" t="s">
        <v>21</v>
      </c>
      <c r="F888" t="s">
        <v>17</v>
      </c>
      <c r="G888" t="s">
        <v>30</v>
      </c>
      <c r="H888">
        <v>14980</v>
      </c>
      <c r="I888">
        <v>20</v>
      </c>
      <c r="J888">
        <v>64</v>
      </c>
      <c r="K888">
        <f t="shared" si="39"/>
        <v>0</v>
      </c>
      <c r="L888" s="4">
        <f t="shared" ca="1" si="40"/>
        <v>26</v>
      </c>
      <c r="M888" t="str">
        <f t="shared" si="41"/>
        <v>Feb-2024</v>
      </c>
      <c r="N888" t="s">
        <v>23</v>
      </c>
    </row>
    <row r="889" spans="1:14" x14ac:dyDescent="0.25">
      <c r="A889" t="s">
        <v>917</v>
      </c>
      <c r="B889" s="1">
        <v>45011</v>
      </c>
      <c r="D889">
        <v>34</v>
      </c>
      <c r="E889" t="s">
        <v>21</v>
      </c>
      <c r="F889" t="s">
        <v>47</v>
      </c>
      <c r="G889" t="s">
        <v>18</v>
      </c>
      <c r="H889">
        <v>24769</v>
      </c>
      <c r="I889">
        <v>31</v>
      </c>
      <c r="J889">
        <v>59</v>
      </c>
      <c r="K889">
        <f t="shared" si="39"/>
        <v>0</v>
      </c>
      <c r="L889" s="4">
        <f t="shared" ca="1" si="40"/>
        <v>37</v>
      </c>
      <c r="M889" t="str">
        <f t="shared" si="41"/>
        <v>Mar-2023</v>
      </c>
      <c r="N889" t="s">
        <v>23</v>
      </c>
    </row>
    <row r="890" spans="1:14" x14ac:dyDescent="0.25">
      <c r="A890" t="s">
        <v>918</v>
      </c>
      <c r="B890" s="1">
        <v>45770</v>
      </c>
      <c r="C890" s="1">
        <v>45800</v>
      </c>
      <c r="D890">
        <v>40</v>
      </c>
      <c r="E890" t="s">
        <v>12</v>
      </c>
      <c r="F890" t="s">
        <v>32</v>
      </c>
      <c r="G890" t="s">
        <v>18</v>
      </c>
      <c r="H890">
        <v>799</v>
      </c>
      <c r="I890">
        <v>1</v>
      </c>
      <c r="J890">
        <v>25</v>
      </c>
      <c r="K890">
        <f t="shared" si="39"/>
        <v>1</v>
      </c>
      <c r="L890" s="4">
        <f t="shared" ca="1" si="40"/>
        <v>1</v>
      </c>
      <c r="M890" t="str">
        <f t="shared" si="41"/>
        <v>Apr-2025</v>
      </c>
      <c r="N890" t="s">
        <v>25</v>
      </c>
    </row>
    <row r="891" spans="1:14" x14ac:dyDescent="0.25">
      <c r="A891" t="s">
        <v>919</v>
      </c>
      <c r="B891" s="1">
        <v>45612</v>
      </c>
      <c r="D891">
        <v>39</v>
      </c>
      <c r="E891" t="s">
        <v>12</v>
      </c>
      <c r="F891" t="s">
        <v>13</v>
      </c>
      <c r="G891" t="s">
        <v>30</v>
      </c>
      <c r="H891">
        <v>8239</v>
      </c>
      <c r="I891">
        <v>11</v>
      </c>
      <c r="J891">
        <v>56</v>
      </c>
      <c r="K891">
        <f t="shared" si="39"/>
        <v>0</v>
      </c>
      <c r="L891" s="4">
        <f t="shared" ca="1" si="40"/>
        <v>17</v>
      </c>
      <c r="M891" t="str">
        <f t="shared" si="41"/>
        <v>Nov-2024</v>
      </c>
      <c r="N891" t="s">
        <v>19</v>
      </c>
    </row>
    <row r="892" spans="1:14" x14ac:dyDescent="0.25">
      <c r="A892" t="s">
        <v>920</v>
      </c>
      <c r="B892" s="1">
        <v>45533</v>
      </c>
      <c r="D892">
        <v>59</v>
      </c>
      <c r="E892" t="s">
        <v>12</v>
      </c>
      <c r="F892" t="s">
        <v>17</v>
      </c>
      <c r="G892" t="s">
        <v>18</v>
      </c>
      <c r="H892">
        <v>11186</v>
      </c>
      <c r="I892">
        <v>14</v>
      </c>
      <c r="J892">
        <v>41</v>
      </c>
      <c r="K892">
        <f t="shared" si="39"/>
        <v>0</v>
      </c>
      <c r="L892" s="4">
        <f t="shared" ca="1" si="40"/>
        <v>19</v>
      </c>
      <c r="M892" t="str">
        <f t="shared" si="41"/>
        <v>Aug-2024</v>
      </c>
      <c r="N892" t="s">
        <v>19</v>
      </c>
    </row>
    <row r="893" spans="1:14" x14ac:dyDescent="0.25">
      <c r="A893" t="s">
        <v>921</v>
      </c>
      <c r="B893" s="1">
        <v>45516</v>
      </c>
      <c r="D893">
        <v>37</v>
      </c>
      <c r="E893" t="s">
        <v>12</v>
      </c>
      <c r="F893" t="s">
        <v>13</v>
      </c>
      <c r="G893" t="s">
        <v>18</v>
      </c>
      <c r="H893">
        <v>11186</v>
      </c>
      <c r="I893">
        <v>14</v>
      </c>
      <c r="J893">
        <v>32</v>
      </c>
      <c r="K893">
        <f t="shared" si="39"/>
        <v>0</v>
      </c>
      <c r="L893" s="4">
        <f t="shared" ca="1" si="40"/>
        <v>20</v>
      </c>
      <c r="M893" t="str">
        <f t="shared" si="41"/>
        <v>Aug-2024</v>
      </c>
      <c r="N893" t="s">
        <v>19</v>
      </c>
    </row>
    <row r="894" spans="1:14" x14ac:dyDescent="0.25">
      <c r="A894" t="s">
        <v>922</v>
      </c>
      <c r="B894" s="1">
        <v>45712</v>
      </c>
      <c r="D894">
        <v>34</v>
      </c>
      <c r="E894" t="s">
        <v>12</v>
      </c>
      <c r="F894" t="s">
        <v>57</v>
      </c>
      <c r="G894" t="s">
        <v>14</v>
      </c>
      <c r="H894">
        <v>5592</v>
      </c>
      <c r="I894">
        <v>8</v>
      </c>
      <c r="J894">
        <v>53</v>
      </c>
      <c r="K894">
        <f t="shared" si="39"/>
        <v>0</v>
      </c>
      <c r="L894" s="4">
        <f t="shared" ca="1" si="40"/>
        <v>13</v>
      </c>
      <c r="M894" t="str">
        <f t="shared" si="41"/>
        <v>Feb-2025</v>
      </c>
      <c r="N894" t="s">
        <v>23</v>
      </c>
    </row>
    <row r="895" spans="1:14" x14ac:dyDescent="0.25">
      <c r="A895" t="s">
        <v>923</v>
      </c>
      <c r="B895" s="1">
        <v>45704</v>
      </c>
      <c r="D895">
        <v>42</v>
      </c>
      <c r="E895" t="s">
        <v>12</v>
      </c>
      <c r="F895" t="s">
        <v>17</v>
      </c>
      <c r="G895" t="s">
        <v>18</v>
      </c>
      <c r="H895">
        <v>6392</v>
      </c>
      <c r="I895">
        <v>8</v>
      </c>
      <c r="J895">
        <v>17</v>
      </c>
      <c r="K895">
        <f t="shared" si="39"/>
        <v>0</v>
      </c>
      <c r="L895" s="4">
        <f t="shared" ca="1" si="40"/>
        <v>14</v>
      </c>
      <c r="M895" t="str">
        <f t="shared" si="41"/>
        <v>Feb-2025</v>
      </c>
      <c r="N895" t="s">
        <v>19</v>
      </c>
    </row>
    <row r="896" spans="1:14" x14ac:dyDescent="0.25">
      <c r="A896" t="s">
        <v>924</v>
      </c>
      <c r="B896" s="1">
        <v>45924</v>
      </c>
      <c r="D896">
        <v>22</v>
      </c>
      <c r="E896" t="s">
        <v>15</v>
      </c>
      <c r="F896" t="s">
        <v>17</v>
      </c>
      <c r="G896" t="s">
        <v>18</v>
      </c>
      <c r="H896">
        <v>799</v>
      </c>
      <c r="I896">
        <v>1</v>
      </c>
      <c r="J896">
        <v>58</v>
      </c>
      <c r="K896">
        <f t="shared" si="39"/>
        <v>0</v>
      </c>
      <c r="L896" s="4">
        <f t="shared" ca="1" si="40"/>
        <v>6</v>
      </c>
      <c r="M896" t="str">
        <f t="shared" si="41"/>
        <v>Sep-2025</v>
      </c>
      <c r="N896" t="s">
        <v>23</v>
      </c>
    </row>
    <row r="897" spans="1:14" x14ac:dyDescent="0.25">
      <c r="A897" t="s">
        <v>925</v>
      </c>
      <c r="B897" s="1">
        <v>45334</v>
      </c>
      <c r="D897">
        <v>50</v>
      </c>
      <c r="E897" t="s">
        <v>15</v>
      </c>
      <c r="F897" t="s">
        <v>32</v>
      </c>
      <c r="G897" t="s">
        <v>18</v>
      </c>
      <c r="H897">
        <v>15980</v>
      </c>
      <c r="I897">
        <v>20</v>
      </c>
      <c r="J897">
        <v>83</v>
      </c>
      <c r="K897">
        <f t="shared" si="39"/>
        <v>0</v>
      </c>
      <c r="L897" s="4">
        <f t="shared" ca="1" si="40"/>
        <v>26</v>
      </c>
      <c r="M897" t="str">
        <f t="shared" si="41"/>
        <v>Feb-2024</v>
      </c>
      <c r="N897" t="s">
        <v>19</v>
      </c>
    </row>
    <row r="898" spans="1:14" x14ac:dyDescent="0.25">
      <c r="A898" t="s">
        <v>926</v>
      </c>
      <c r="B898" s="1">
        <v>45429</v>
      </c>
      <c r="D898">
        <v>39</v>
      </c>
      <c r="E898" t="s">
        <v>12</v>
      </c>
      <c r="F898" t="s">
        <v>27</v>
      </c>
      <c r="G898" t="s">
        <v>18</v>
      </c>
      <c r="H898">
        <v>13583</v>
      </c>
      <c r="I898">
        <v>17</v>
      </c>
      <c r="J898">
        <v>47</v>
      </c>
      <c r="K898">
        <f t="shared" si="39"/>
        <v>0</v>
      </c>
      <c r="L898" s="4">
        <f t="shared" ca="1" si="40"/>
        <v>23</v>
      </c>
      <c r="M898" t="str">
        <f t="shared" si="41"/>
        <v>May-2024</v>
      </c>
      <c r="N898" t="s">
        <v>23</v>
      </c>
    </row>
    <row r="899" spans="1:14" x14ac:dyDescent="0.25">
      <c r="A899" t="s">
        <v>927</v>
      </c>
      <c r="B899" s="1">
        <v>45934</v>
      </c>
      <c r="D899">
        <v>52</v>
      </c>
      <c r="E899" t="s">
        <v>12</v>
      </c>
      <c r="F899" t="s">
        <v>38</v>
      </c>
      <c r="G899" t="s">
        <v>14</v>
      </c>
      <c r="H899">
        <v>699</v>
      </c>
      <c r="I899">
        <v>1</v>
      </c>
      <c r="J899">
        <v>77</v>
      </c>
      <c r="K899">
        <f t="shared" ref="K899:K962" si="42">IF(ISBLANK(C899), 0, 1)</f>
        <v>0</v>
      </c>
      <c r="L899" s="4">
        <f t="shared" ref="L899:L962" ca="1" si="43">ROUNDUP(DATEDIF(B899, IF(ISBLANK(C899), TODAY(), C899), "d")/30, 0)</f>
        <v>6</v>
      </c>
      <c r="M899" t="str">
        <f t="shared" ref="M899:M962" si="44">TEXT(B899, "mmm-yyyy")</f>
        <v>Oct-2025</v>
      </c>
      <c r="N899" t="s">
        <v>15</v>
      </c>
    </row>
    <row r="900" spans="1:14" x14ac:dyDescent="0.25">
      <c r="A900" t="s">
        <v>928</v>
      </c>
      <c r="B900" s="1">
        <v>45522</v>
      </c>
      <c r="D900">
        <v>25</v>
      </c>
      <c r="E900" t="s">
        <v>21</v>
      </c>
      <c r="F900" t="s">
        <v>17</v>
      </c>
      <c r="G900" t="s">
        <v>30</v>
      </c>
      <c r="H900">
        <v>10486</v>
      </c>
      <c r="I900">
        <v>14</v>
      </c>
      <c r="J900">
        <v>25</v>
      </c>
      <c r="K900">
        <f t="shared" si="42"/>
        <v>0</v>
      </c>
      <c r="L900" s="4">
        <f t="shared" ca="1" si="43"/>
        <v>20</v>
      </c>
      <c r="M900" t="str">
        <f t="shared" si="44"/>
        <v>Aug-2024</v>
      </c>
      <c r="N900" t="s">
        <v>23</v>
      </c>
    </row>
    <row r="901" spans="1:14" x14ac:dyDescent="0.25">
      <c r="A901" t="s">
        <v>929</v>
      </c>
      <c r="B901" s="1">
        <v>45551</v>
      </c>
      <c r="D901">
        <v>50</v>
      </c>
      <c r="E901" t="s">
        <v>21</v>
      </c>
      <c r="F901" t="s">
        <v>57</v>
      </c>
      <c r="G901" t="s">
        <v>18</v>
      </c>
      <c r="H901">
        <v>10387</v>
      </c>
      <c r="I901">
        <v>13</v>
      </c>
      <c r="J901">
        <v>81</v>
      </c>
      <c r="K901">
        <f t="shared" si="42"/>
        <v>0</v>
      </c>
      <c r="L901" s="4">
        <f t="shared" ca="1" si="43"/>
        <v>19</v>
      </c>
      <c r="M901" t="str">
        <f t="shared" si="44"/>
        <v>Sep-2024</v>
      </c>
      <c r="N901" t="s">
        <v>19</v>
      </c>
    </row>
    <row r="902" spans="1:14" x14ac:dyDescent="0.25">
      <c r="A902" t="s">
        <v>930</v>
      </c>
      <c r="B902" s="1">
        <v>45732</v>
      </c>
      <c r="C902" s="1">
        <v>45792</v>
      </c>
      <c r="D902">
        <v>52</v>
      </c>
      <c r="E902" t="s">
        <v>21</v>
      </c>
      <c r="F902" t="s">
        <v>32</v>
      </c>
      <c r="G902" t="s">
        <v>18</v>
      </c>
      <c r="H902">
        <v>1598</v>
      </c>
      <c r="I902">
        <v>2</v>
      </c>
      <c r="J902">
        <v>78</v>
      </c>
      <c r="K902">
        <f t="shared" si="42"/>
        <v>1</v>
      </c>
      <c r="L902" s="4">
        <f t="shared" ca="1" si="43"/>
        <v>2</v>
      </c>
      <c r="M902" t="str">
        <f t="shared" si="44"/>
        <v>Mar-2025</v>
      </c>
      <c r="N902" t="s">
        <v>19</v>
      </c>
    </row>
    <row r="903" spans="1:14" x14ac:dyDescent="0.25">
      <c r="A903" t="s">
        <v>931</v>
      </c>
      <c r="B903" s="1">
        <v>45308</v>
      </c>
      <c r="C903" s="1">
        <v>45698</v>
      </c>
      <c r="D903">
        <v>37</v>
      </c>
      <c r="E903" t="s">
        <v>12</v>
      </c>
      <c r="F903" t="s">
        <v>32</v>
      </c>
      <c r="G903" t="s">
        <v>30</v>
      </c>
      <c r="H903">
        <v>9737</v>
      </c>
      <c r="I903">
        <v>13</v>
      </c>
      <c r="J903">
        <v>41</v>
      </c>
      <c r="K903">
        <f t="shared" si="42"/>
        <v>1</v>
      </c>
      <c r="L903" s="4">
        <f t="shared" ca="1" si="43"/>
        <v>13</v>
      </c>
      <c r="M903" t="str">
        <f t="shared" si="44"/>
        <v>Jan-2024</v>
      </c>
      <c r="N903" t="s">
        <v>19</v>
      </c>
    </row>
    <row r="904" spans="1:14" x14ac:dyDescent="0.25">
      <c r="A904" t="s">
        <v>932</v>
      </c>
      <c r="B904" s="1">
        <v>44916</v>
      </c>
      <c r="D904">
        <v>23</v>
      </c>
      <c r="E904" t="s">
        <v>21</v>
      </c>
      <c r="F904" t="s">
        <v>47</v>
      </c>
      <c r="G904" t="s">
        <v>30</v>
      </c>
      <c r="H904">
        <v>25466</v>
      </c>
      <c r="I904">
        <v>34</v>
      </c>
      <c r="J904">
        <v>95</v>
      </c>
      <c r="K904">
        <f t="shared" si="42"/>
        <v>0</v>
      </c>
      <c r="L904" s="4">
        <f t="shared" ca="1" si="43"/>
        <v>40</v>
      </c>
      <c r="M904" t="str">
        <f t="shared" si="44"/>
        <v>Dec-2022</v>
      </c>
      <c r="N904" t="s">
        <v>19</v>
      </c>
    </row>
    <row r="905" spans="1:14" x14ac:dyDescent="0.25">
      <c r="A905" t="s">
        <v>933</v>
      </c>
      <c r="B905" s="1">
        <v>45165</v>
      </c>
      <c r="C905" s="1">
        <v>45645</v>
      </c>
      <c r="D905">
        <v>39</v>
      </c>
      <c r="E905" t="s">
        <v>12</v>
      </c>
      <c r="F905" t="s">
        <v>27</v>
      </c>
      <c r="G905" t="s">
        <v>18</v>
      </c>
      <c r="H905">
        <v>12784</v>
      </c>
      <c r="I905">
        <v>16</v>
      </c>
      <c r="J905">
        <v>32</v>
      </c>
      <c r="K905">
        <f t="shared" si="42"/>
        <v>1</v>
      </c>
      <c r="L905" s="4">
        <f t="shared" ca="1" si="43"/>
        <v>16</v>
      </c>
      <c r="M905" t="str">
        <f t="shared" si="44"/>
        <v>Aug-2023</v>
      </c>
      <c r="N905" t="s">
        <v>15</v>
      </c>
    </row>
    <row r="906" spans="1:14" x14ac:dyDescent="0.25">
      <c r="A906" t="s">
        <v>934</v>
      </c>
      <c r="B906" s="1">
        <v>45596</v>
      </c>
      <c r="D906">
        <v>42</v>
      </c>
      <c r="E906" t="s">
        <v>12</v>
      </c>
      <c r="F906" t="s">
        <v>22</v>
      </c>
      <c r="G906" t="s">
        <v>18</v>
      </c>
      <c r="H906">
        <v>9588</v>
      </c>
      <c r="I906">
        <v>12</v>
      </c>
      <c r="J906">
        <v>59</v>
      </c>
      <c r="K906">
        <f t="shared" si="42"/>
        <v>0</v>
      </c>
      <c r="L906" s="4">
        <f t="shared" ca="1" si="43"/>
        <v>17</v>
      </c>
      <c r="M906" t="str">
        <f t="shared" si="44"/>
        <v>Oct-2024</v>
      </c>
      <c r="N906" t="s">
        <v>19</v>
      </c>
    </row>
    <row r="907" spans="1:14" x14ac:dyDescent="0.25">
      <c r="A907" t="s">
        <v>935</v>
      </c>
      <c r="B907" s="1">
        <v>44908</v>
      </c>
      <c r="D907">
        <v>32</v>
      </c>
      <c r="E907" t="s">
        <v>12</v>
      </c>
      <c r="F907" t="s">
        <v>32</v>
      </c>
      <c r="G907" t="s">
        <v>30</v>
      </c>
      <c r="H907">
        <v>26215</v>
      </c>
      <c r="I907">
        <v>35</v>
      </c>
      <c r="J907">
        <v>55</v>
      </c>
      <c r="K907">
        <f t="shared" si="42"/>
        <v>0</v>
      </c>
      <c r="L907" s="4">
        <f t="shared" ca="1" si="43"/>
        <v>40</v>
      </c>
      <c r="M907" t="str">
        <f t="shared" si="44"/>
        <v>Dec-2022</v>
      </c>
      <c r="N907" t="s">
        <v>23</v>
      </c>
    </row>
    <row r="908" spans="1:14" x14ac:dyDescent="0.25">
      <c r="A908" t="s">
        <v>936</v>
      </c>
      <c r="B908" s="1">
        <v>45042</v>
      </c>
      <c r="D908">
        <v>43</v>
      </c>
      <c r="E908" t="s">
        <v>12</v>
      </c>
      <c r="F908" t="s">
        <v>47</v>
      </c>
      <c r="G908" t="s">
        <v>18</v>
      </c>
      <c r="H908">
        <v>23970</v>
      </c>
      <c r="I908">
        <v>30</v>
      </c>
      <c r="J908">
        <v>78</v>
      </c>
      <c r="K908">
        <f t="shared" si="42"/>
        <v>0</v>
      </c>
      <c r="L908" s="4">
        <f t="shared" ca="1" si="43"/>
        <v>36</v>
      </c>
      <c r="M908" t="str">
        <f t="shared" si="44"/>
        <v>Apr-2023</v>
      </c>
      <c r="N908" t="s">
        <v>19</v>
      </c>
    </row>
    <row r="909" spans="1:14" x14ac:dyDescent="0.25">
      <c r="A909" t="s">
        <v>937</v>
      </c>
      <c r="B909" s="1">
        <v>45436</v>
      </c>
      <c r="D909">
        <v>47</v>
      </c>
      <c r="E909" t="s">
        <v>12</v>
      </c>
      <c r="F909" t="s">
        <v>13</v>
      </c>
      <c r="G909" t="s">
        <v>18</v>
      </c>
      <c r="H909">
        <v>13583</v>
      </c>
      <c r="I909">
        <v>17</v>
      </c>
      <c r="J909">
        <v>42</v>
      </c>
      <c r="K909">
        <f t="shared" si="42"/>
        <v>0</v>
      </c>
      <c r="L909" s="4">
        <f t="shared" ca="1" si="43"/>
        <v>23</v>
      </c>
      <c r="M909" t="str">
        <f t="shared" si="44"/>
        <v>May-2024</v>
      </c>
      <c r="N909" t="s">
        <v>19</v>
      </c>
    </row>
    <row r="910" spans="1:14" x14ac:dyDescent="0.25">
      <c r="A910" t="s">
        <v>938</v>
      </c>
      <c r="B910" s="1">
        <v>45671</v>
      </c>
      <c r="D910">
        <v>25</v>
      </c>
      <c r="E910" t="s">
        <v>21</v>
      </c>
      <c r="F910" t="s">
        <v>29</v>
      </c>
      <c r="G910" t="s">
        <v>18</v>
      </c>
      <c r="H910">
        <v>7191</v>
      </c>
      <c r="I910">
        <v>9</v>
      </c>
      <c r="J910">
        <v>100</v>
      </c>
      <c r="K910">
        <f t="shared" si="42"/>
        <v>0</v>
      </c>
      <c r="L910" s="4">
        <f t="shared" ca="1" si="43"/>
        <v>15</v>
      </c>
      <c r="M910" t="str">
        <f t="shared" si="44"/>
        <v>Jan-2025</v>
      </c>
      <c r="N910" t="s">
        <v>19</v>
      </c>
    </row>
    <row r="911" spans="1:14" x14ac:dyDescent="0.25">
      <c r="A911" t="s">
        <v>939</v>
      </c>
      <c r="B911" s="1">
        <v>45867</v>
      </c>
      <c r="D911">
        <v>23</v>
      </c>
      <c r="E911" t="s">
        <v>21</v>
      </c>
      <c r="F911" t="s">
        <v>29</v>
      </c>
      <c r="G911" t="s">
        <v>18</v>
      </c>
      <c r="H911">
        <v>2397</v>
      </c>
      <c r="I911">
        <v>3</v>
      </c>
      <c r="J911">
        <v>57</v>
      </c>
      <c r="K911">
        <f t="shared" si="42"/>
        <v>0</v>
      </c>
      <c r="L911" s="4">
        <f t="shared" ca="1" si="43"/>
        <v>8</v>
      </c>
      <c r="M911" t="str">
        <f t="shared" si="44"/>
        <v>Jul-2025</v>
      </c>
      <c r="N911" t="s">
        <v>19</v>
      </c>
    </row>
    <row r="912" spans="1:14" x14ac:dyDescent="0.25">
      <c r="A912" t="s">
        <v>940</v>
      </c>
      <c r="B912" s="1">
        <v>45217</v>
      </c>
      <c r="C912" s="1">
        <v>45727</v>
      </c>
      <c r="D912">
        <v>18</v>
      </c>
      <c r="E912" t="s">
        <v>12</v>
      </c>
      <c r="F912" t="s">
        <v>13</v>
      </c>
      <c r="G912" t="s">
        <v>18</v>
      </c>
      <c r="H912">
        <v>13583</v>
      </c>
      <c r="I912">
        <v>17</v>
      </c>
      <c r="J912">
        <v>55</v>
      </c>
      <c r="K912">
        <f t="shared" si="42"/>
        <v>1</v>
      </c>
      <c r="L912" s="4">
        <f t="shared" ca="1" si="43"/>
        <v>17</v>
      </c>
      <c r="M912" t="str">
        <f t="shared" si="44"/>
        <v>Oct-2023</v>
      </c>
      <c r="N912" t="s">
        <v>25</v>
      </c>
    </row>
    <row r="913" spans="1:14" x14ac:dyDescent="0.25">
      <c r="A913" t="s">
        <v>941</v>
      </c>
      <c r="B913" s="1">
        <v>45183</v>
      </c>
      <c r="C913" s="1">
        <v>45243</v>
      </c>
      <c r="D913">
        <v>46</v>
      </c>
      <c r="E913" t="s">
        <v>21</v>
      </c>
      <c r="F913" t="s">
        <v>57</v>
      </c>
      <c r="G913" t="s">
        <v>14</v>
      </c>
      <c r="H913">
        <v>1398</v>
      </c>
      <c r="I913">
        <v>2</v>
      </c>
      <c r="J913">
        <v>78</v>
      </c>
      <c r="K913">
        <f t="shared" si="42"/>
        <v>1</v>
      </c>
      <c r="L913" s="4">
        <f t="shared" ca="1" si="43"/>
        <v>2</v>
      </c>
      <c r="M913" t="str">
        <f t="shared" si="44"/>
        <v>Sep-2023</v>
      </c>
      <c r="N913" t="s">
        <v>19</v>
      </c>
    </row>
    <row r="914" spans="1:14" x14ac:dyDescent="0.25">
      <c r="A914" t="s">
        <v>942</v>
      </c>
      <c r="B914" s="1">
        <v>45301</v>
      </c>
      <c r="C914" s="1">
        <v>45751</v>
      </c>
      <c r="D914">
        <v>58</v>
      </c>
      <c r="E914" t="s">
        <v>21</v>
      </c>
      <c r="F914" t="s">
        <v>17</v>
      </c>
      <c r="G914" t="s">
        <v>18</v>
      </c>
      <c r="H914">
        <v>11985</v>
      </c>
      <c r="I914">
        <v>15</v>
      </c>
      <c r="J914">
        <v>38</v>
      </c>
      <c r="K914">
        <f t="shared" si="42"/>
        <v>1</v>
      </c>
      <c r="L914" s="4">
        <f t="shared" ca="1" si="43"/>
        <v>15</v>
      </c>
      <c r="M914" t="str">
        <f t="shared" si="44"/>
        <v>Jan-2024</v>
      </c>
      <c r="N914" t="s">
        <v>19</v>
      </c>
    </row>
    <row r="915" spans="1:14" x14ac:dyDescent="0.25">
      <c r="A915" t="s">
        <v>943</v>
      </c>
      <c r="B915" s="1">
        <v>45470</v>
      </c>
      <c r="D915">
        <v>42</v>
      </c>
      <c r="E915" t="s">
        <v>12</v>
      </c>
      <c r="F915" t="s">
        <v>57</v>
      </c>
      <c r="G915" t="s">
        <v>18</v>
      </c>
      <c r="H915">
        <v>12784</v>
      </c>
      <c r="I915">
        <v>16</v>
      </c>
      <c r="J915">
        <v>47</v>
      </c>
      <c r="K915">
        <f t="shared" si="42"/>
        <v>0</v>
      </c>
      <c r="L915" s="4">
        <f t="shared" ca="1" si="43"/>
        <v>21</v>
      </c>
      <c r="M915" t="str">
        <f t="shared" si="44"/>
        <v>Jun-2024</v>
      </c>
      <c r="N915" t="s">
        <v>19</v>
      </c>
    </row>
    <row r="916" spans="1:14" x14ac:dyDescent="0.25">
      <c r="A916" t="s">
        <v>944</v>
      </c>
      <c r="B916" s="1">
        <v>45895</v>
      </c>
      <c r="D916">
        <v>37</v>
      </c>
      <c r="E916" t="s">
        <v>12</v>
      </c>
      <c r="F916" t="s">
        <v>32</v>
      </c>
      <c r="G916" t="s">
        <v>30</v>
      </c>
      <c r="H916">
        <v>1498</v>
      </c>
      <c r="I916">
        <v>2</v>
      </c>
      <c r="J916">
        <v>79</v>
      </c>
      <c r="K916">
        <f t="shared" si="42"/>
        <v>0</v>
      </c>
      <c r="L916" s="4">
        <f t="shared" ca="1" si="43"/>
        <v>7</v>
      </c>
      <c r="M916" t="str">
        <f t="shared" si="44"/>
        <v>Aug-2025</v>
      </c>
      <c r="N916" t="s">
        <v>23</v>
      </c>
    </row>
    <row r="917" spans="1:14" x14ac:dyDescent="0.25">
      <c r="A917" t="s">
        <v>945</v>
      </c>
      <c r="B917" s="1">
        <v>45165</v>
      </c>
      <c r="D917">
        <v>20</v>
      </c>
      <c r="E917" t="s">
        <v>21</v>
      </c>
      <c r="F917" t="s">
        <v>17</v>
      </c>
      <c r="G917" t="s">
        <v>18</v>
      </c>
      <c r="H917">
        <v>20774</v>
      </c>
      <c r="I917">
        <v>26</v>
      </c>
      <c r="J917">
        <v>72</v>
      </c>
      <c r="K917">
        <f t="shared" si="42"/>
        <v>0</v>
      </c>
      <c r="L917" s="4">
        <f t="shared" ca="1" si="43"/>
        <v>32</v>
      </c>
      <c r="M917" t="str">
        <f t="shared" si="44"/>
        <v>Aug-2023</v>
      </c>
      <c r="N917" t="s">
        <v>19</v>
      </c>
    </row>
    <row r="918" spans="1:14" x14ac:dyDescent="0.25">
      <c r="A918" t="s">
        <v>946</v>
      </c>
      <c r="B918" s="1">
        <v>45596</v>
      </c>
      <c r="C918" s="1">
        <v>45746</v>
      </c>
      <c r="D918">
        <v>22</v>
      </c>
      <c r="E918" t="s">
        <v>12</v>
      </c>
      <c r="F918" t="s">
        <v>13</v>
      </c>
      <c r="G918" t="s">
        <v>14</v>
      </c>
      <c r="H918">
        <v>3495</v>
      </c>
      <c r="I918">
        <v>5</v>
      </c>
      <c r="J918">
        <v>50</v>
      </c>
      <c r="K918">
        <f t="shared" si="42"/>
        <v>1</v>
      </c>
      <c r="L918" s="4">
        <f t="shared" ca="1" si="43"/>
        <v>5</v>
      </c>
      <c r="M918" t="str">
        <f t="shared" si="44"/>
        <v>Oct-2024</v>
      </c>
      <c r="N918" t="s">
        <v>19</v>
      </c>
    </row>
    <row r="919" spans="1:14" x14ac:dyDescent="0.25">
      <c r="A919" t="s">
        <v>947</v>
      </c>
      <c r="B919" s="1">
        <v>45358</v>
      </c>
      <c r="C919" s="1">
        <v>45658</v>
      </c>
      <c r="D919">
        <v>54</v>
      </c>
      <c r="E919" t="s">
        <v>12</v>
      </c>
      <c r="F919" t="s">
        <v>29</v>
      </c>
      <c r="G919" t="s">
        <v>30</v>
      </c>
      <c r="H919">
        <v>7490</v>
      </c>
      <c r="I919">
        <v>10</v>
      </c>
      <c r="J919">
        <v>57</v>
      </c>
      <c r="K919">
        <f t="shared" si="42"/>
        <v>1</v>
      </c>
      <c r="L919" s="4">
        <f t="shared" ca="1" si="43"/>
        <v>10</v>
      </c>
      <c r="M919" t="str">
        <f t="shared" si="44"/>
        <v>Mar-2024</v>
      </c>
      <c r="N919" t="s">
        <v>19</v>
      </c>
    </row>
    <row r="920" spans="1:14" x14ac:dyDescent="0.25">
      <c r="A920" t="s">
        <v>948</v>
      </c>
      <c r="B920" s="1">
        <v>45320</v>
      </c>
      <c r="C920" s="1">
        <v>45800</v>
      </c>
      <c r="D920">
        <v>51</v>
      </c>
      <c r="E920" t="s">
        <v>21</v>
      </c>
      <c r="F920" t="s">
        <v>13</v>
      </c>
      <c r="G920" t="s">
        <v>18</v>
      </c>
      <c r="H920">
        <v>12784</v>
      </c>
      <c r="I920">
        <v>16</v>
      </c>
      <c r="J920">
        <v>49</v>
      </c>
      <c r="K920">
        <f t="shared" si="42"/>
        <v>1</v>
      </c>
      <c r="L920" s="4">
        <f t="shared" ca="1" si="43"/>
        <v>16</v>
      </c>
      <c r="M920" t="str">
        <f t="shared" si="44"/>
        <v>Jan-2024</v>
      </c>
      <c r="N920" t="s">
        <v>23</v>
      </c>
    </row>
    <row r="921" spans="1:14" x14ac:dyDescent="0.25">
      <c r="A921" t="s">
        <v>949</v>
      </c>
      <c r="B921" s="1">
        <v>45386</v>
      </c>
      <c r="D921">
        <v>35</v>
      </c>
      <c r="E921" t="s">
        <v>21</v>
      </c>
      <c r="F921" t="s">
        <v>27</v>
      </c>
      <c r="G921" t="s">
        <v>18</v>
      </c>
      <c r="H921">
        <v>15181</v>
      </c>
      <c r="I921">
        <v>19</v>
      </c>
      <c r="J921">
        <v>50</v>
      </c>
      <c r="K921">
        <f t="shared" si="42"/>
        <v>0</v>
      </c>
      <c r="L921" s="4">
        <f t="shared" ca="1" si="43"/>
        <v>24</v>
      </c>
      <c r="M921" t="str">
        <f t="shared" si="44"/>
        <v>Apr-2024</v>
      </c>
      <c r="N921" t="s">
        <v>19</v>
      </c>
    </row>
    <row r="922" spans="1:14" x14ac:dyDescent="0.25">
      <c r="A922" t="s">
        <v>950</v>
      </c>
      <c r="B922" s="1">
        <v>45124</v>
      </c>
      <c r="D922">
        <v>56</v>
      </c>
      <c r="E922" t="s">
        <v>21</v>
      </c>
      <c r="F922" t="s">
        <v>22</v>
      </c>
      <c r="G922" t="s">
        <v>14</v>
      </c>
      <c r="H922">
        <v>18873</v>
      </c>
      <c r="I922">
        <v>27</v>
      </c>
      <c r="J922">
        <v>86</v>
      </c>
      <c r="K922">
        <f t="shared" si="42"/>
        <v>0</v>
      </c>
      <c r="L922" s="4">
        <f t="shared" ca="1" si="43"/>
        <v>33</v>
      </c>
      <c r="M922" t="str">
        <f t="shared" si="44"/>
        <v>Jul-2023</v>
      </c>
      <c r="N922" t="s">
        <v>23</v>
      </c>
    </row>
    <row r="923" spans="1:14" x14ac:dyDescent="0.25">
      <c r="A923" t="s">
        <v>951</v>
      </c>
      <c r="B923" s="1">
        <v>45735</v>
      </c>
      <c r="D923">
        <v>30</v>
      </c>
      <c r="E923" t="s">
        <v>12</v>
      </c>
      <c r="F923" t="s">
        <v>47</v>
      </c>
      <c r="G923" t="s">
        <v>14</v>
      </c>
      <c r="H923">
        <v>4893</v>
      </c>
      <c r="I923">
        <v>7</v>
      </c>
      <c r="J923">
        <v>100</v>
      </c>
      <c r="K923">
        <f t="shared" si="42"/>
        <v>0</v>
      </c>
      <c r="L923" s="4">
        <f t="shared" ca="1" si="43"/>
        <v>13</v>
      </c>
      <c r="M923" t="str">
        <f t="shared" si="44"/>
        <v>Mar-2025</v>
      </c>
      <c r="N923" t="s">
        <v>23</v>
      </c>
    </row>
    <row r="924" spans="1:14" x14ac:dyDescent="0.25">
      <c r="A924" t="s">
        <v>952</v>
      </c>
      <c r="B924" s="1">
        <v>45403</v>
      </c>
      <c r="D924">
        <v>23</v>
      </c>
      <c r="E924" t="s">
        <v>21</v>
      </c>
      <c r="F924" t="s">
        <v>17</v>
      </c>
      <c r="G924" t="s">
        <v>14</v>
      </c>
      <c r="H924">
        <v>12582</v>
      </c>
      <c r="I924">
        <v>18</v>
      </c>
      <c r="J924">
        <v>100</v>
      </c>
      <c r="K924">
        <f t="shared" si="42"/>
        <v>0</v>
      </c>
      <c r="L924" s="4">
        <f t="shared" ca="1" si="43"/>
        <v>24</v>
      </c>
      <c r="M924" t="str">
        <f t="shared" si="44"/>
        <v>Apr-2024</v>
      </c>
      <c r="N924" t="s">
        <v>19</v>
      </c>
    </row>
    <row r="925" spans="1:14" x14ac:dyDescent="0.25">
      <c r="A925" t="s">
        <v>953</v>
      </c>
      <c r="B925" s="1">
        <v>45495</v>
      </c>
      <c r="D925">
        <v>53</v>
      </c>
      <c r="E925" t="s">
        <v>21</v>
      </c>
      <c r="F925" t="s">
        <v>57</v>
      </c>
      <c r="G925" t="s">
        <v>18</v>
      </c>
      <c r="H925">
        <v>11985</v>
      </c>
      <c r="I925">
        <v>15</v>
      </c>
      <c r="J925">
        <v>85</v>
      </c>
      <c r="K925">
        <f t="shared" si="42"/>
        <v>0</v>
      </c>
      <c r="L925" s="4">
        <f t="shared" ca="1" si="43"/>
        <v>21</v>
      </c>
      <c r="M925" t="str">
        <f t="shared" si="44"/>
        <v>Jul-2024</v>
      </c>
      <c r="N925" t="s">
        <v>19</v>
      </c>
    </row>
    <row r="926" spans="1:14" x14ac:dyDescent="0.25">
      <c r="A926" t="s">
        <v>954</v>
      </c>
      <c r="B926" s="1">
        <v>45220</v>
      </c>
      <c r="D926">
        <v>32</v>
      </c>
      <c r="E926" t="s">
        <v>12</v>
      </c>
      <c r="F926" t="s">
        <v>41</v>
      </c>
      <c r="G926" t="s">
        <v>14</v>
      </c>
      <c r="H926">
        <v>16776</v>
      </c>
      <c r="I926">
        <v>24</v>
      </c>
      <c r="J926">
        <v>100</v>
      </c>
      <c r="K926">
        <f t="shared" si="42"/>
        <v>0</v>
      </c>
      <c r="L926" s="4">
        <f t="shared" ca="1" si="43"/>
        <v>30</v>
      </c>
      <c r="M926" t="str">
        <f t="shared" si="44"/>
        <v>Oct-2023</v>
      </c>
      <c r="N926" t="s">
        <v>19</v>
      </c>
    </row>
    <row r="927" spans="1:14" x14ac:dyDescent="0.25">
      <c r="A927" t="s">
        <v>955</v>
      </c>
      <c r="B927" s="1">
        <v>45019</v>
      </c>
      <c r="C927" s="1">
        <v>45499</v>
      </c>
      <c r="D927">
        <v>46</v>
      </c>
      <c r="E927" t="s">
        <v>12</v>
      </c>
      <c r="F927" t="s">
        <v>47</v>
      </c>
      <c r="G927" t="s">
        <v>30</v>
      </c>
      <c r="H927">
        <v>11984</v>
      </c>
      <c r="I927">
        <v>16</v>
      </c>
      <c r="J927">
        <v>55</v>
      </c>
      <c r="K927">
        <f t="shared" si="42"/>
        <v>1</v>
      </c>
      <c r="L927" s="4">
        <f t="shared" ca="1" si="43"/>
        <v>16</v>
      </c>
      <c r="M927" t="str">
        <f t="shared" si="44"/>
        <v>Apr-2023</v>
      </c>
      <c r="N927" t="s">
        <v>23</v>
      </c>
    </row>
    <row r="928" spans="1:14" x14ac:dyDescent="0.25">
      <c r="A928" t="s">
        <v>956</v>
      </c>
      <c r="B928" s="1">
        <v>45069</v>
      </c>
      <c r="D928">
        <v>32</v>
      </c>
      <c r="E928" t="s">
        <v>21</v>
      </c>
      <c r="F928" t="s">
        <v>22</v>
      </c>
      <c r="G928" t="s">
        <v>18</v>
      </c>
      <c r="H928">
        <v>23171</v>
      </c>
      <c r="I928">
        <v>29</v>
      </c>
      <c r="J928">
        <v>46</v>
      </c>
      <c r="K928">
        <f t="shared" si="42"/>
        <v>0</v>
      </c>
      <c r="L928" s="4">
        <f t="shared" ca="1" si="43"/>
        <v>35</v>
      </c>
      <c r="M928" t="str">
        <f t="shared" si="44"/>
        <v>May-2023</v>
      </c>
      <c r="N928" t="s">
        <v>23</v>
      </c>
    </row>
    <row r="929" spans="1:14" x14ac:dyDescent="0.25">
      <c r="A929" t="s">
        <v>957</v>
      </c>
      <c r="B929" s="1">
        <v>45802</v>
      </c>
      <c r="C929" s="1">
        <v>45922</v>
      </c>
      <c r="D929">
        <v>46</v>
      </c>
      <c r="E929" t="s">
        <v>12</v>
      </c>
      <c r="F929" t="s">
        <v>38</v>
      </c>
      <c r="G929" t="s">
        <v>18</v>
      </c>
      <c r="H929">
        <v>3196</v>
      </c>
      <c r="I929">
        <v>4</v>
      </c>
      <c r="J929">
        <v>48</v>
      </c>
      <c r="K929">
        <f t="shared" si="42"/>
        <v>1</v>
      </c>
      <c r="L929" s="4">
        <f t="shared" ca="1" si="43"/>
        <v>4</v>
      </c>
      <c r="M929" t="str">
        <f t="shared" si="44"/>
        <v>May-2025</v>
      </c>
      <c r="N929" t="s">
        <v>19</v>
      </c>
    </row>
    <row r="930" spans="1:14" x14ac:dyDescent="0.25">
      <c r="A930" t="s">
        <v>958</v>
      </c>
      <c r="B930" s="1">
        <v>45457</v>
      </c>
      <c r="D930">
        <v>27</v>
      </c>
      <c r="E930" t="s">
        <v>12</v>
      </c>
      <c r="F930" t="s">
        <v>32</v>
      </c>
      <c r="G930" t="s">
        <v>30</v>
      </c>
      <c r="H930">
        <v>11984</v>
      </c>
      <c r="I930">
        <v>16</v>
      </c>
      <c r="J930">
        <v>37</v>
      </c>
      <c r="K930">
        <f t="shared" si="42"/>
        <v>0</v>
      </c>
      <c r="L930" s="4">
        <f t="shared" ca="1" si="43"/>
        <v>22</v>
      </c>
      <c r="M930" t="str">
        <f t="shared" si="44"/>
        <v>Jun-2024</v>
      </c>
      <c r="N930" t="s">
        <v>19</v>
      </c>
    </row>
    <row r="931" spans="1:14" x14ac:dyDescent="0.25">
      <c r="A931" t="s">
        <v>959</v>
      </c>
      <c r="B931" s="1">
        <v>45790</v>
      </c>
      <c r="D931">
        <v>20</v>
      </c>
      <c r="E931" t="s">
        <v>12</v>
      </c>
      <c r="F931" t="s">
        <v>57</v>
      </c>
      <c r="G931" t="s">
        <v>18</v>
      </c>
      <c r="H931">
        <v>3995</v>
      </c>
      <c r="I931">
        <v>5</v>
      </c>
      <c r="J931">
        <v>56</v>
      </c>
      <c r="K931">
        <f t="shared" si="42"/>
        <v>0</v>
      </c>
      <c r="L931" s="4">
        <f t="shared" ca="1" si="43"/>
        <v>11</v>
      </c>
      <c r="M931" t="str">
        <f t="shared" si="44"/>
        <v>May-2025</v>
      </c>
      <c r="N931" t="s">
        <v>25</v>
      </c>
    </row>
    <row r="932" spans="1:14" x14ac:dyDescent="0.25">
      <c r="A932" t="s">
        <v>960</v>
      </c>
      <c r="B932" s="1">
        <v>45346</v>
      </c>
      <c r="D932">
        <v>25</v>
      </c>
      <c r="E932" t="s">
        <v>12</v>
      </c>
      <c r="F932" t="s">
        <v>38</v>
      </c>
      <c r="G932" t="s">
        <v>30</v>
      </c>
      <c r="H932">
        <v>14980</v>
      </c>
      <c r="I932">
        <v>20</v>
      </c>
      <c r="J932">
        <v>66</v>
      </c>
      <c r="K932">
        <f t="shared" si="42"/>
        <v>0</v>
      </c>
      <c r="L932" s="4">
        <f t="shared" ca="1" si="43"/>
        <v>26</v>
      </c>
      <c r="M932" t="str">
        <f t="shared" si="44"/>
        <v>Feb-2024</v>
      </c>
      <c r="N932" t="s">
        <v>15</v>
      </c>
    </row>
    <row r="933" spans="1:14" x14ac:dyDescent="0.25">
      <c r="A933" t="s">
        <v>961</v>
      </c>
      <c r="B933" s="1">
        <v>44933</v>
      </c>
      <c r="C933" s="1">
        <v>45053</v>
      </c>
      <c r="D933">
        <v>50</v>
      </c>
      <c r="E933" t="s">
        <v>12</v>
      </c>
      <c r="F933" t="s">
        <v>17</v>
      </c>
      <c r="G933" t="s">
        <v>18</v>
      </c>
      <c r="H933">
        <v>3196</v>
      </c>
      <c r="I933">
        <v>4</v>
      </c>
      <c r="J933">
        <v>50</v>
      </c>
      <c r="K933">
        <f t="shared" si="42"/>
        <v>1</v>
      </c>
      <c r="L933" s="4">
        <f t="shared" ca="1" si="43"/>
        <v>4</v>
      </c>
      <c r="M933" t="str">
        <f t="shared" si="44"/>
        <v>Jan-2023</v>
      </c>
      <c r="N933" t="s">
        <v>25</v>
      </c>
    </row>
    <row r="934" spans="1:14" x14ac:dyDescent="0.25">
      <c r="A934" t="s">
        <v>962</v>
      </c>
      <c r="B934" s="1">
        <v>45804</v>
      </c>
      <c r="D934">
        <v>19</v>
      </c>
      <c r="E934" t="s">
        <v>21</v>
      </c>
      <c r="F934" t="s">
        <v>22</v>
      </c>
      <c r="G934" t="s">
        <v>18</v>
      </c>
      <c r="H934">
        <v>3995</v>
      </c>
      <c r="I934">
        <v>5</v>
      </c>
      <c r="J934">
        <v>34</v>
      </c>
      <c r="K934">
        <f t="shared" si="42"/>
        <v>0</v>
      </c>
      <c r="L934" s="4">
        <f t="shared" ca="1" si="43"/>
        <v>10</v>
      </c>
      <c r="M934" t="str">
        <f t="shared" si="44"/>
        <v>May-2025</v>
      </c>
      <c r="N934" t="s">
        <v>23</v>
      </c>
    </row>
    <row r="935" spans="1:14" x14ac:dyDescent="0.25">
      <c r="A935" t="s">
        <v>963</v>
      </c>
      <c r="B935" s="1">
        <v>45670</v>
      </c>
      <c r="D935">
        <v>39</v>
      </c>
      <c r="E935" t="s">
        <v>12</v>
      </c>
      <c r="F935" t="s">
        <v>47</v>
      </c>
      <c r="G935" t="s">
        <v>18</v>
      </c>
      <c r="H935">
        <v>7191</v>
      </c>
      <c r="I935">
        <v>9</v>
      </c>
      <c r="J935">
        <v>65</v>
      </c>
      <c r="K935">
        <f t="shared" si="42"/>
        <v>0</v>
      </c>
      <c r="L935" s="4">
        <f t="shared" ca="1" si="43"/>
        <v>15</v>
      </c>
      <c r="M935" t="str">
        <f t="shared" si="44"/>
        <v>Jan-2025</v>
      </c>
      <c r="N935" t="s">
        <v>25</v>
      </c>
    </row>
    <row r="936" spans="1:14" x14ac:dyDescent="0.25">
      <c r="A936" t="s">
        <v>964</v>
      </c>
      <c r="B936" s="1">
        <v>45636</v>
      </c>
      <c r="D936">
        <v>40</v>
      </c>
      <c r="E936" t="s">
        <v>12</v>
      </c>
      <c r="F936" t="s">
        <v>47</v>
      </c>
      <c r="G936" t="s">
        <v>18</v>
      </c>
      <c r="H936">
        <v>7990</v>
      </c>
      <c r="I936">
        <v>10</v>
      </c>
      <c r="J936">
        <v>78</v>
      </c>
      <c r="K936">
        <f t="shared" si="42"/>
        <v>0</v>
      </c>
      <c r="L936" s="4">
        <f t="shared" ca="1" si="43"/>
        <v>16</v>
      </c>
      <c r="M936" t="str">
        <f t="shared" si="44"/>
        <v>Dec-2024</v>
      </c>
      <c r="N936" t="s">
        <v>23</v>
      </c>
    </row>
    <row r="937" spans="1:14" x14ac:dyDescent="0.25">
      <c r="A937" t="s">
        <v>965</v>
      </c>
      <c r="B937" s="1">
        <v>45835</v>
      </c>
      <c r="D937">
        <v>43</v>
      </c>
      <c r="E937" t="s">
        <v>12</v>
      </c>
      <c r="F937" t="s">
        <v>41</v>
      </c>
      <c r="G937" t="s">
        <v>30</v>
      </c>
      <c r="H937">
        <v>2996</v>
      </c>
      <c r="I937">
        <v>4</v>
      </c>
      <c r="J937">
        <v>57</v>
      </c>
      <c r="K937">
        <f t="shared" si="42"/>
        <v>0</v>
      </c>
      <c r="L937" s="4">
        <f t="shared" ca="1" si="43"/>
        <v>9</v>
      </c>
      <c r="M937" t="str">
        <f t="shared" si="44"/>
        <v>Jun-2025</v>
      </c>
      <c r="N937" t="s">
        <v>19</v>
      </c>
    </row>
    <row r="938" spans="1:14" x14ac:dyDescent="0.25">
      <c r="A938" t="s">
        <v>966</v>
      </c>
      <c r="B938" s="1">
        <v>45834</v>
      </c>
      <c r="D938">
        <v>41</v>
      </c>
      <c r="E938" t="s">
        <v>12</v>
      </c>
      <c r="F938" t="s">
        <v>22</v>
      </c>
      <c r="G938" t="s">
        <v>18</v>
      </c>
      <c r="H938">
        <v>3196</v>
      </c>
      <c r="I938">
        <v>4</v>
      </c>
      <c r="J938">
        <v>21</v>
      </c>
      <c r="K938">
        <f t="shared" si="42"/>
        <v>0</v>
      </c>
      <c r="L938" s="4">
        <f t="shared" ca="1" si="43"/>
        <v>9</v>
      </c>
      <c r="M938" t="str">
        <f t="shared" si="44"/>
        <v>Jun-2025</v>
      </c>
      <c r="N938" t="s">
        <v>25</v>
      </c>
    </row>
    <row r="939" spans="1:14" x14ac:dyDescent="0.25">
      <c r="A939" t="s">
        <v>967</v>
      </c>
      <c r="B939" s="1">
        <v>45724</v>
      </c>
      <c r="D939">
        <v>37</v>
      </c>
      <c r="E939" t="s">
        <v>12</v>
      </c>
      <c r="F939" t="s">
        <v>13</v>
      </c>
      <c r="G939" t="s">
        <v>18</v>
      </c>
      <c r="H939">
        <v>5593</v>
      </c>
      <c r="I939">
        <v>7</v>
      </c>
      <c r="J939">
        <v>74</v>
      </c>
      <c r="K939">
        <f t="shared" si="42"/>
        <v>0</v>
      </c>
      <c r="L939" s="4">
        <f t="shared" ca="1" si="43"/>
        <v>13</v>
      </c>
      <c r="M939" t="str">
        <f t="shared" si="44"/>
        <v>Mar-2025</v>
      </c>
      <c r="N939" t="s">
        <v>19</v>
      </c>
    </row>
    <row r="940" spans="1:14" x14ac:dyDescent="0.25">
      <c r="A940" t="s">
        <v>968</v>
      </c>
      <c r="B940" s="1">
        <v>45606</v>
      </c>
      <c r="D940">
        <v>56</v>
      </c>
      <c r="E940" t="s">
        <v>21</v>
      </c>
      <c r="F940" t="s">
        <v>29</v>
      </c>
      <c r="G940" t="s">
        <v>18</v>
      </c>
      <c r="H940">
        <v>8789</v>
      </c>
      <c r="I940">
        <v>11</v>
      </c>
      <c r="J940">
        <v>69</v>
      </c>
      <c r="K940">
        <f t="shared" si="42"/>
        <v>0</v>
      </c>
      <c r="L940" s="4">
        <f t="shared" ca="1" si="43"/>
        <v>17</v>
      </c>
      <c r="M940" t="str">
        <f t="shared" si="44"/>
        <v>Nov-2024</v>
      </c>
      <c r="N940" t="s">
        <v>23</v>
      </c>
    </row>
    <row r="941" spans="1:14" x14ac:dyDescent="0.25">
      <c r="A941" t="s">
        <v>969</v>
      </c>
      <c r="B941" s="1">
        <v>45693</v>
      </c>
      <c r="D941">
        <v>35</v>
      </c>
      <c r="E941" t="s">
        <v>12</v>
      </c>
      <c r="F941" t="s">
        <v>29</v>
      </c>
      <c r="G941" t="s">
        <v>18</v>
      </c>
      <c r="H941">
        <v>6392</v>
      </c>
      <c r="I941">
        <v>8</v>
      </c>
      <c r="J941">
        <v>70</v>
      </c>
      <c r="K941">
        <f t="shared" si="42"/>
        <v>0</v>
      </c>
      <c r="L941" s="4">
        <f t="shared" ca="1" si="43"/>
        <v>14</v>
      </c>
      <c r="M941" t="str">
        <f t="shared" si="44"/>
        <v>Feb-2025</v>
      </c>
      <c r="N941" t="s">
        <v>19</v>
      </c>
    </row>
    <row r="942" spans="1:14" x14ac:dyDescent="0.25">
      <c r="A942" t="s">
        <v>970</v>
      </c>
      <c r="B942" s="1">
        <v>45369</v>
      </c>
      <c r="D942">
        <v>60</v>
      </c>
      <c r="E942" t="s">
        <v>21</v>
      </c>
      <c r="F942" t="s">
        <v>32</v>
      </c>
      <c r="G942" t="s">
        <v>14</v>
      </c>
      <c r="H942">
        <v>13281</v>
      </c>
      <c r="I942">
        <v>19</v>
      </c>
      <c r="J942">
        <v>53</v>
      </c>
      <c r="K942">
        <f t="shared" si="42"/>
        <v>0</v>
      </c>
      <c r="L942" s="4">
        <f t="shared" ca="1" si="43"/>
        <v>25</v>
      </c>
      <c r="M942" t="str">
        <f t="shared" si="44"/>
        <v>Mar-2024</v>
      </c>
      <c r="N942" t="s">
        <v>19</v>
      </c>
    </row>
    <row r="943" spans="1:14" x14ac:dyDescent="0.25">
      <c r="A943" t="s">
        <v>971</v>
      </c>
      <c r="B943" s="1">
        <v>45358</v>
      </c>
      <c r="D943">
        <v>32</v>
      </c>
      <c r="E943" t="s">
        <v>21</v>
      </c>
      <c r="F943" t="s">
        <v>22</v>
      </c>
      <c r="G943" t="s">
        <v>14</v>
      </c>
      <c r="H943">
        <v>13980</v>
      </c>
      <c r="I943">
        <v>20</v>
      </c>
      <c r="J943">
        <v>68</v>
      </c>
      <c r="K943">
        <f t="shared" si="42"/>
        <v>0</v>
      </c>
      <c r="L943" s="4">
        <f t="shared" ca="1" si="43"/>
        <v>25</v>
      </c>
      <c r="M943" t="str">
        <f t="shared" si="44"/>
        <v>Mar-2024</v>
      </c>
      <c r="N943" t="s">
        <v>23</v>
      </c>
    </row>
    <row r="944" spans="1:14" x14ac:dyDescent="0.25">
      <c r="A944" t="s">
        <v>972</v>
      </c>
      <c r="B944" s="1">
        <v>44913</v>
      </c>
      <c r="C944" s="1">
        <v>45033</v>
      </c>
      <c r="D944">
        <v>36</v>
      </c>
      <c r="E944" t="s">
        <v>12</v>
      </c>
      <c r="F944" t="s">
        <v>38</v>
      </c>
      <c r="G944" t="s">
        <v>18</v>
      </c>
      <c r="H944">
        <v>3196</v>
      </c>
      <c r="I944">
        <v>4</v>
      </c>
      <c r="J944">
        <v>61</v>
      </c>
      <c r="K944">
        <f t="shared" si="42"/>
        <v>1</v>
      </c>
      <c r="L944" s="4">
        <f t="shared" ca="1" si="43"/>
        <v>4</v>
      </c>
      <c r="M944" t="str">
        <f t="shared" si="44"/>
        <v>Dec-2022</v>
      </c>
      <c r="N944" t="s">
        <v>23</v>
      </c>
    </row>
    <row r="945" spans="1:14" x14ac:dyDescent="0.25">
      <c r="A945" t="s">
        <v>973</v>
      </c>
      <c r="B945" s="1">
        <v>45100</v>
      </c>
      <c r="D945">
        <v>18</v>
      </c>
      <c r="E945" t="s">
        <v>12</v>
      </c>
      <c r="F945" t="s">
        <v>13</v>
      </c>
      <c r="G945" t="s">
        <v>18</v>
      </c>
      <c r="H945">
        <v>22372</v>
      </c>
      <c r="I945">
        <v>28</v>
      </c>
      <c r="J945">
        <v>87</v>
      </c>
      <c r="K945">
        <f t="shared" si="42"/>
        <v>0</v>
      </c>
      <c r="L945" s="4">
        <f t="shared" ca="1" si="43"/>
        <v>34</v>
      </c>
      <c r="M945" t="str">
        <f t="shared" si="44"/>
        <v>Jun-2023</v>
      </c>
      <c r="N945" t="s">
        <v>15</v>
      </c>
    </row>
    <row r="946" spans="1:14" x14ac:dyDescent="0.25">
      <c r="A946" t="s">
        <v>974</v>
      </c>
      <c r="B946" s="1">
        <v>45194</v>
      </c>
      <c r="C946" s="1">
        <v>45404</v>
      </c>
      <c r="D946">
        <v>48</v>
      </c>
      <c r="E946" t="s">
        <v>21</v>
      </c>
      <c r="F946" t="s">
        <v>13</v>
      </c>
      <c r="G946" t="s">
        <v>30</v>
      </c>
      <c r="H946">
        <v>5243</v>
      </c>
      <c r="I946">
        <v>7</v>
      </c>
      <c r="J946">
        <v>35</v>
      </c>
      <c r="K946">
        <f t="shared" si="42"/>
        <v>1</v>
      </c>
      <c r="L946" s="4">
        <f t="shared" ca="1" si="43"/>
        <v>7</v>
      </c>
      <c r="M946" t="str">
        <f t="shared" si="44"/>
        <v>Sep-2023</v>
      </c>
      <c r="N946" t="s">
        <v>15</v>
      </c>
    </row>
    <row r="947" spans="1:14" x14ac:dyDescent="0.25">
      <c r="A947" t="s">
        <v>975</v>
      </c>
      <c r="B947" s="1">
        <v>45850</v>
      </c>
      <c r="D947">
        <v>47</v>
      </c>
      <c r="E947" t="s">
        <v>12</v>
      </c>
      <c r="F947" t="s">
        <v>17</v>
      </c>
      <c r="G947" t="s">
        <v>18</v>
      </c>
      <c r="H947">
        <v>2397</v>
      </c>
      <c r="I947">
        <v>3</v>
      </c>
      <c r="J947">
        <v>49</v>
      </c>
      <c r="K947">
        <f t="shared" si="42"/>
        <v>0</v>
      </c>
      <c r="L947" s="4">
        <f t="shared" ca="1" si="43"/>
        <v>9</v>
      </c>
      <c r="M947" t="str">
        <f t="shared" si="44"/>
        <v>Jul-2025</v>
      </c>
      <c r="N947" t="s">
        <v>19</v>
      </c>
    </row>
    <row r="948" spans="1:14" x14ac:dyDescent="0.25">
      <c r="A948" t="s">
        <v>976</v>
      </c>
      <c r="B948" s="1">
        <v>45075</v>
      </c>
      <c r="C948" s="1">
        <v>45615</v>
      </c>
      <c r="D948">
        <v>30</v>
      </c>
      <c r="E948" t="s">
        <v>12</v>
      </c>
      <c r="F948" t="s">
        <v>47</v>
      </c>
      <c r="G948" t="s">
        <v>14</v>
      </c>
      <c r="H948">
        <v>12582</v>
      </c>
      <c r="I948">
        <v>18</v>
      </c>
      <c r="J948">
        <v>20</v>
      </c>
      <c r="K948">
        <f t="shared" si="42"/>
        <v>1</v>
      </c>
      <c r="L948" s="4">
        <f t="shared" ca="1" si="43"/>
        <v>18</v>
      </c>
      <c r="M948" t="str">
        <f t="shared" si="44"/>
        <v>May-2023</v>
      </c>
      <c r="N948" t="s">
        <v>19</v>
      </c>
    </row>
    <row r="949" spans="1:14" x14ac:dyDescent="0.25">
      <c r="A949" t="s">
        <v>977</v>
      </c>
      <c r="B949" s="1">
        <v>45209</v>
      </c>
      <c r="D949">
        <v>45</v>
      </c>
      <c r="E949" t="s">
        <v>21</v>
      </c>
      <c r="F949" t="s">
        <v>41</v>
      </c>
      <c r="G949" t="s">
        <v>18</v>
      </c>
      <c r="H949">
        <v>19975</v>
      </c>
      <c r="I949">
        <v>25</v>
      </c>
      <c r="J949">
        <v>48</v>
      </c>
      <c r="K949">
        <f t="shared" si="42"/>
        <v>0</v>
      </c>
      <c r="L949" s="4">
        <f t="shared" ca="1" si="43"/>
        <v>30</v>
      </c>
      <c r="M949" t="str">
        <f t="shared" si="44"/>
        <v>Oct-2023</v>
      </c>
      <c r="N949" t="s">
        <v>19</v>
      </c>
    </row>
    <row r="950" spans="1:14" x14ac:dyDescent="0.25">
      <c r="A950" t="s">
        <v>978</v>
      </c>
      <c r="B950" s="1">
        <v>45736</v>
      </c>
      <c r="D950">
        <v>43</v>
      </c>
      <c r="E950" t="s">
        <v>12</v>
      </c>
      <c r="F950" t="s">
        <v>27</v>
      </c>
      <c r="G950" t="s">
        <v>18</v>
      </c>
      <c r="H950">
        <v>5593</v>
      </c>
      <c r="I950">
        <v>7</v>
      </c>
      <c r="J950">
        <v>60</v>
      </c>
      <c r="K950">
        <f t="shared" si="42"/>
        <v>0</v>
      </c>
      <c r="L950" s="4">
        <f t="shared" ca="1" si="43"/>
        <v>13</v>
      </c>
      <c r="M950" t="str">
        <f t="shared" si="44"/>
        <v>Mar-2025</v>
      </c>
      <c r="N950" t="s">
        <v>23</v>
      </c>
    </row>
    <row r="951" spans="1:14" x14ac:dyDescent="0.25">
      <c r="A951" t="s">
        <v>979</v>
      </c>
      <c r="B951" s="1">
        <v>45797</v>
      </c>
      <c r="C951" s="1">
        <v>45857</v>
      </c>
      <c r="D951">
        <v>32</v>
      </c>
      <c r="E951" t="s">
        <v>12</v>
      </c>
      <c r="F951" t="s">
        <v>27</v>
      </c>
      <c r="G951" t="s">
        <v>14</v>
      </c>
      <c r="H951">
        <v>1398</v>
      </c>
      <c r="I951">
        <v>2</v>
      </c>
      <c r="J951">
        <v>37</v>
      </c>
      <c r="K951">
        <f t="shared" si="42"/>
        <v>1</v>
      </c>
      <c r="L951" s="4">
        <f t="shared" ca="1" si="43"/>
        <v>2</v>
      </c>
      <c r="M951" t="str">
        <f t="shared" si="44"/>
        <v>May-2025</v>
      </c>
      <c r="N951" t="s">
        <v>23</v>
      </c>
    </row>
    <row r="952" spans="1:14" x14ac:dyDescent="0.25">
      <c r="A952" t="s">
        <v>980</v>
      </c>
      <c r="B952" s="1">
        <v>45463</v>
      </c>
      <c r="D952">
        <v>32</v>
      </c>
      <c r="E952" t="s">
        <v>12</v>
      </c>
      <c r="F952" t="s">
        <v>22</v>
      </c>
      <c r="G952" t="s">
        <v>30</v>
      </c>
      <c r="H952">
        <v>11984</v>
      </c>
      <c r="I952">
        <v>16</v>
      </c>
      <c r="J952">
        <v>71</v>
      </c>
      <c r="K952">
        <f t="shared" si="42"/>
        <v>0</v>
      </c>
      <c r="L952" s="4">
        <f t="shared" ca="1" si="43"/>
        <v>22</v>
      </c>
      <c r="M952" t="str">
        <f t="shared" si="44"/>
        <v>Jun-2024</v>
      </c>
      <c r="N952" t="s">
        <v>19</v>
      </c>
    </row>
    <row r="953" spans="1:14" x14ac:dyDescent="0.25">
      <c r="A953" t="s">
        <v>981</v>
      </c>
      <c r="B953" s="1">
        <v>45728</v>
      </c>
      <c r="C953" s="1">
        <v>45908</v>
      </c>
      <c r="D953">
        <v>18</v>
      </c>
      <c r="E953" t="s">
        <v>21</v>
      </c>
      <c r="F953" t="s">
        <v>13</v>
      </c>
      <c r="G953" t="s">
        <v>18</v>
      </c>
      <c r="H953">
        <v>4794</v>
      </c>
      <c r="I953">
        <v>6</v>
      </c>
      <c r="J953">
        <v>47</v>
      </c>
      <c r="K953">
        <f t="shared" si="42"/>
        <v>1</v>
      </c>
      <c r="L953" s="4">
        <f t="shared" ca="1" si="43"/>
        <v>6</v>
      </c>
      <c r="M953" t="str">
        <f t="shared" si="44"/>
        <v>Mar-2025</v>
      </c>
      <c r="N953" t="s">
        <v>19</v>
      </c>
    </row>
    <row r="954" spans="1:14" x14ac:dyDescent="0.25">
      <c r="A954" t="s">
        <v>982</v>
      </c>
      <c r="B954" s="1">
        <v>45898</v>
      </c>
      <c r="C954" s="1">
        <v>45928</v>
      </c>
      <c r="D954">
        <v>57</v>
      </c>
      <c r="E954" t="s">
        <v>12</v>
      </c>
      <c r="F954" t="s">
        <v>29</v>
      </c>
      <c r="G954" t="s">
        <v>18</v>
      </c>
      <c r="H954">
        <v>799</v>
      </c>
      <c r="I954">
        <v>1</v>
      </c>
      <c r="J954">
        <v>80</v>
      </c>
      <c r="K954">
        <f t="shared" si="42"/>
        <v>1</v>
      </c>
      <c r="L954" s="4">
        <f t="shared" ca="1" si="43"/>
        <v>1</v>
      </c>
      <c r="M954" t="str">
        <f t="shared" si="44"/>
        <v>Aug-2025</v>
      </c>
      <c r="N954" t="s">
        <v>19</v>
      </c>
    </row>
    <row r="955" spans="1:14" x14ac:dyDescent="0.25">
      <c r="A955" t="s">
        <v>983</v>
      </c>
      <c r="B955" s="1">
        <v>45822</v>
      </c>
      <c r="D955">
        <v>26</v>
      </c>
      <c r="E955" t="s">
        <v>21</v>
      </c>
      <c r="F955" t="s">
        <v>57</v>
      </c>
      <c r="G955" t="s">
        <v>14</v>
      </c>
      <c r="H955">
        <v>2796</v>
      </c>
      <c r="I955">
        <v>4</v>
      </c>
      <c r="J955">
        <v>54</v>
      </c>
      <c r="K955">
        <f t="shared" si="42"/>
        <v>0</v>
      </c>
      <c r="L955" s="4">
        <f t="shared" ca="1" si="43"/>
        <v>10</v>
      </c>
      <c r="M955" t="str">
        <f t="shared" si="44"/>
        <v>Jun-2025</v>
      </c>
      <c r="N955" t="s">
        <v>19</v>
      </c>
    </row>
    <row r="956" spans="1:14" x14ac:dyDescent="0.25">
      <c r="A956" t="s">
        <v>984</v>
      </c>
      <c r="B956" s="1">
        <v>45727</v>
      </c>
      <c r="D956">
        <v>45</v>
      </c>
      <c r="E956" t="s">
        <v>12</v>
      </c>
      <c r="F956" t="s">
        <v>57</v>
      </c>
      <c r="G956" t="s">
        <v>18</v>
      </c>
      <c r="H956">
        <v>5593</v>
      </c>
      <c r="I956">
        <v>7</v>
      </c>
      <c r="J956">
        <v>51</v>
      </c>
      <c r="K956">
        <f t="shared" si="42"/>
        <v>0</v>
      </c>
      <c r="L956" s="4">
        <f t="shared" ca="1" si="43"/>
        <v>13</v>
      </c>
      <c r="M956" t="str">
        <f t="shared" si="44"/>
        <v>Mar-2025</v>
      </c>
      <c r="N956" t="s">
        <v>19</v>
      </c>
    </row>
    <row r="957" spans="1:14" x14ac:dyDescent="0.25">
      <c r="A957" t="s">
        <v>985</v>
      </c>
      <c r="B957" s="1">
        <v>45104</v>
      </c>
      <c r="D957">
        <v>23</v>
      </c>
      <c r="E957" t="s">
        <v>12</v>
      </c>
      <c r="F957" t="s">
        <v>13</v>
      </c>
      <c r="G957" t="s">
        <v>14</v>
      </c>
      <c r="H957">
        <v>19572</v>
      </c>
      <c r="I957">
        <v>28</v>
      </c>
      <c r="J957">
        <v>55</v>
      </c>
      <c r="K957">
        <f t="shared" si="42"/>
        <v>0</v>
      </c>
      <c r="L957" s="4">
        <f t="shared" ca="1" si="43"/>
        <v>34</v>
      </c>
      <c r="M957" t="str">
        <f t="shared" si="44"/>
        <v>Jun-2023</v>
      </c>
      <c r="N957" t="s">
        <v>23</v>
      </c>
    </row>
    <row r="958" spans="1:14" x14ac:dyDescent="0.25">
      <c r="A958" t="s">
        <v>986</v>
      </c>
      <c r="B958" s="1">
        <v>45082</v>
      </c>
      <c r="D958">
        <v>50</v>
      </c>
      <c r="E958" t="s">
        <v>12</v>
      </c>
      <c r="F958" t="s">
        <v>41</v>
      </c>
      <c r="G958" t="s">
        <v>18</v>
      </c>
      <c r="H958">
        <v>23171</v>
      </c>
      <c r="I958">
        <v>29</v>
      </c>
      <c r="J958">
        <v>95</v>
      </c>
      <c r="K958">
        <f t="shared" si="42"/>
        <v>0</v>
      </c>
      <c r="L958" s="4">
        <f t="shared" ca="1" si="43"/>
        <v>34</v>
      </c>
      <c r="M958" t="str">
        <f t="shared" si="44"/>
        <v>Jun-2023</v>
      </c>
      <c r="N958" t="s">
        <v>19</v>
      </c>
    </row>
    <row r="959" spans="1:14" x14ac:dyDescent="0.25">
      <c r="A959" t="s">
        <v>987</v>
      </c>
      <c r="B959" s="1">
        <v>45607</v>
      </c>
      <c r="D959">
        <v>40</v>
      </c>
      <c r="E959" t="s">
        <v>12</v>
      </c>
      <c r="F959" t="s">
        <v>29</v>
      </c>
      <c r="G959" t="s">
        <v>18</v>
      </c>
      <c r="H959">
        <v>8789</v>
      </c>
      <c r="I959">
        <v>11</v>
      </c>
      <c r="J959">
        <v>70</v>
      </c>
      <c r="K959">
        <f t="shared" si="42"/>
        <v>0</v>
      </c>
      <c r="L959" s="4">
        <f t="shared" ca="1" si="43"/>
        <v>17</v>
      </c>
      <c r="M959" t="str">
        <f t="shared" si="44"/>
        <v>Nov-2024</v>
      </c>
      <c r="N959" t="s">
        <v>19</v>
      </c>
    </row>
    <row r="960" spans="1:14" x14ac:dyDescent="0.25">
      <c r="A960" t="s">
        <v>988</v>
      </c>
      <c r="B960" s="1">
        <v>45942</v>
      </c>
      <c r="C960" s="1">
        <v>45962</v>
      </c>
      <c r="D960">
        <v>39</v>
      </c>
      <c r="E960" t="s">
        <v>12</v>
      </c>
      <c r="F960" t="s">
        <v>32</v>
      </c>
      <c r="G960" t="s">
        <v>30</v>
      </c>
      <c r="H960">
        <v>749</v>
      </c>
      <c r="I960">
        <v>1</v>
      </c>
      <c r="J960">
        <v>76</v>
      </c>
      <c r="K960">
        <f t="shared" si="42"/>
        <v>1</v>
      </c>
      <c r="L960" s="4">
        <f t="shared" ca="1" si="43"/>
        <v>1</v>
      </c>
      <c r="M960" t="str">
        <f t="shared" si="44"/>
        <v>Oct-2025</v>
      </c>
      <c r="N960" t="s">
        <v>15</v>
      </c>
    </row>
    <row r="961" spans="1:14" x14ac:dyDescent="0.25">
      <c r="A961" t="s">
        <v>989</v>
      </c>
      <c r="B961" s="1">
        <v>45158</v>
      </c>
      <c r="D961">
        <v>50</v>
      </c>
      <c r="E961" t="s">
        <v>21</v>
      </c>
      <c r="F961" t="s">
        <v>13</v>
      </c>
      <c r="G961" t="s">
        <v>18</v>
      </c>
      <c r="H961">
        <v>20774</v>
      </c>
      <c r="I961">
        <v>26</v>
      </c>
      <c r="J961">
        <v>51</v>
      </c>
      <c r="K961">
        <f t="shared" si="42"/>
        <v>0</v>
      </c>
      <c r="L961" s="4">
        <f t="shared" ca="1" si="43"/>
        <v>32</v>
      </c>
      <c r="M961" t="str">
        <f t="shared" si="44"/>
        <v>Aug-2023</v>
      </c>
      <c r="N961" t="s">
        <v>23</v>
      </c>
    </row>
    <row r="962" spans="1:14" x14ac:dyDescent="0.25">
      <c r="A962" t="s">
        <v>990</v>
      </c>
      <c r="B962" s="1">
        <v>45600</v>
      </c>
      <c r="D962">
        <v>50</v>
      </c>
      <c r="E962" t="s">
        <v>21</v>
      </c>
      <c r="F962" t="s">
        <v>27</v>
      </c>
      <c r="G962" t="s">
        <v>30</v>
      </c>
      <c r="H962">
        <v>8988</v>
      </c>
      <c r="I962">
        <v>12</v>
      </c>
      <c r="J962">
        <v>49</v>
      </c>
      <c r="K962">
        <f t="shared" si="42"/>
        <v>0</v>
      </c>
      <c r="L962" s="4">
        <f t="shared" ca="1" si="43"/>
        <v>17</v>
      </c>
      <c r="M962" t="str">
        <f t="shared" si="44"/>
        <v>Nov-2024</v>
      </c>
      <c r="N962" t="s">
        <v>15</v>
      </c>
    </row>
    <row r="963" spans="1:14" x14ac:dyDescent="0.25">
      <c r="A963" t="s">
        <v>991</v>
      </c>
      <c r="B963" s="1">
        <v>45639</v>
      </c>
      <c r="D963">
        <v>54</v>
      </c>
      <c r="E963" t="s">
        <v>21</v>
      </c>
      <c r="F963" t="s">
        <v>57</v>
      </c>
      <c r="G963" t="s">
        <v>18</v>
      </c>
      <c r="H963">
        <v>7990</v>
      </c>
      <c r="I963">
        <v>10</v>
      </c>
      <c r="J963">
        <v>41</v>
      </c>
      <c r="K963">
        <f t="shared" ref="K963:K1026" si="45">IF(ISBLANK(C963), 0, 1)</f>
        <v>0</v>
      </c>
      <c r="L963" s="4">
        <f t="shared" ref="L963:L1026" ca="1" si="46">ROUNDUP(DATEDIF(B963, IF(ISBLANK(C963), TODAY(), C963), "d")/30, 0)</f>
        <v>16</v>
      </c>
      <c r="M963" t="str">
        <f t="shared" ref="M963:M1026" si="47">TEXT(B963, "mmm-yyyy")</f>
        <v>Dec-2024</v>
      </c>
      <c r="N963" t="s">
        <v>25</v>
      </c>
    </row>
    <row r="964" spans="1:14" x14ac:dyDescent="0.25">
      <c r="A964" t="s">
        <v>992</v>
      </c>
      <c r="B964" s="1">
        <v>45069</v>
      </c>
      <c r="D964">
        <v>29</v>
      </c>
      <c r="E964" t="s">
        <v>12</v>
      </c>
      <c r="F964" t="s">
        <v>57</v>
      </c>
      <c r="G964" t="s">
        <v>18</v>
      </c>
      <c r="H964">
        <v>23171</v>
      </c>
      <c r="I964">
        <v>29</v>
      </c>
      <c r="J964">
        <v>44</v>
      </c>
      <c r="K964">
        <f t="shared" si="45"/>
        <v>0</v>
      </c>
      <c r="L964" s="4">
        <f t="shared" ca="1" si="46"/>
        <v>35</v>
      </c>
      <c r="M964" t="str">
        <f t="shared" si="47"/>
        <v>May-2023</v>
      </c>
      <c r="N964" t="s">
        <v>23</v>
      </c>
    </row>
    <row r="965" spans="1:14" x14ac:dyDescent="0.25">
      <c r="A965" t="s">
        <v>993</v>
      </c>
      <c r="B965" s="1">
        <v>45190</v>
      </c>
      <c r="D965">
        <v>45</v>
      </c>
      <c r="E965" t="s">
        <v>12</v>
      </c>
      <c r="F965" t="s">
        <v>17</v>
      </c>
      <c r="G965" t="s">
        <v>30</v>
      </c>
      <c r="H965">
        <v>18725</v>
      </c>
      <c r="I965">
        <v>25</v>
      </c>
      <c r="J965">
        <v>46</v>
      </c>
      <c r="K965">
        <f t="shared" si="45"/>
        <v>0</v>
      </c>
      <c r="L965" s="4">
        <f t="shared" ca="1" si="46"/>
        <v>31</v>
      </c>
      <c r="M965" t="str">
        <f t="shared" si="47"/>
        <v>Sep-2023</v>
      </c>
      <c r="N965" t="s">
        <v>15</v>
      </c>
    </row>
    <row r="966" spans="1:14" x14ac:dyDescent="0.25">
      <c r="A966" t="s">
        <v>994</v>
      </c>
      <c r="B966" s="1">
        <v>45084</v>
      </c>
      <c r="D966">
        <v>46</v>
      </c>
      <c r="E966" t="s">
        <v>21</v>
      </c>
      <c r="F966" t="s">
        <v>57</v>
      </c>
      <c r="G966" t="s">
        <v>30</v>
      </c>
      <c r="H966">
        <v>21721</v>
      </c>
      <c r="I966">
        <v>29</v>
      </c>
      <c r="J966">
        <v>45</v>
      </c>
      <c r="K966">
        <f t="shared" si="45"/>
        <v>0</v>
      </c>
      <c r="L966" s="4">
        <f t="shared" ca="1" si="46"/>
        <v>34</v>
      </c>
      <c r="M966" t="str">
        <f t="shared" si="47"/>
        <v>Jun-2023</v>
      </c>
      <c r="N966" t="s">
        <v>25</v>
      </c>
    </row>
    <row r="967" spans="1:14" x14ac:dyDescent="0.25">
      <c r="A967" t="s">
        <v>995</v>
      </c>
      <c r="B967" s="1">
        <v>45794</v>
      </c>
      <c r="D967">
        <v>49</v>
      </c>
      <c r="E967" t="s">
        <v>12</v>
      </c>
      <c r="F967" t="s">
        <v>17</v>
      </c>
      <c r="G967" t="s">
        <v>18</v>
      </c>
      <c r="H967">
        <v>3995</v>
      </c>
      <c r="I967">
        <v>5</v>
      </c>
      <c r="J967">
        <v>38</v>
      </c>
      <c r="K967">
        <f t="shared" si="45"/>
        <v>0</v>
      </c>
      <c r="L967" s="4">
        <f t="shared" ca="1" si="46"/>
        <v>11</v>
      </c>
      <c r="M967" t="str">
        <f t="shared" si="47"/>
        <v>May-2025</v>
      </c>
      <c r="N967" t="s">
        <v>19</v>
      </c>
    </row>
    <row r="968" spans="1:14" x14ac:dyDescent="0.25">
      <c r="A968" t="s">
        <v>996</v>
      </c>
      <c r="B968" s="1">
        <v>45042</v>
      </c>
      <c r="D968">
        <v>20</v>
      </c>
      <c r="E968" t="s">
        <v>21</v>
      </c>
      <c r="F968" t="s">
        <v>29</v>
      </c>
      <c r="G968" t="s">
        <v>14</v>
      </c>
      <c r="H968">
        <v>20970</v>
      </c>
      <c r="I968">
        <v>30</v>
      </c>
      <c r="J968">
        <v>64</v>
      </c>
      <c r="K968">
        <f t="shared" si="45"/>
        <v>0</v>
      </c>
      <c r="L968" s="4">
        <f t="shared" ca="1" si="46"/>
        <v>36</v>
      </c>
      <c r="M968" t="str">
        <f t="shared" si="47"/>
        <v>Apr-2023</v>
      </c>
      <c r="N968" t="s">
        <v>23</v>
      </c>
    </row>
    <row r="969" spans="1:14" x14ac:dyDescent="0.25">
      <c r="A969" t="s">
        <v>997</v>
      </c>
      <c r="B969" s="1">
        <v>45262</v>
      </c>
      <c r="D969">
        <v>18</v>
      </c>
      <c r="E969" t="s">
        <v>12</v>
      </c>
      <c r="F969" t="s">
        <v>29</v>
      </c>
      <c r="G969" t="s">
        <v>30</v>
      </c>
      <c r="H969">
        <v>17227</v>
      </c>
      <c r="I969">
        <v>23</v>
      </c>
      <c r="J969">
        <v>69</v>
      </c>
      <c r="K969">
        <f t="shared" si="45"/>
        <v>0</v>
      </c>
      <c r="L969" s="4">
        <f t="shared" ca="1" si="46"/>
        <v>28</v>
      </c>
      <c r="M969" t="str">
        <f t="shared" si="47"/>
        <v>Dec-2023</v>
      </c>
      <c r="N969" t="s">
        <v>23</v>
      </c>
    </row>
    <row r="970" spans="1:14" x14ac:dyDescent="0.25">
      <c r="A970" t="s">
        <v>998</v>
      </c>
      <c r="B970" s="1">
        <v>45730</v>
      </c>
      <c r="D970">
        <v>34</v>
      </c>
      <c r="E970" t="s">
        <v>21</v>
      </c>
      <c r="F970" t="s">
        <v>38</v>
      </c>
      <c r="G970" t="s">
        <v>18</v>
      </c>
      <c r="H970">
        <v>5593</v>
      </c>
      <c r="I970">
        <v>7</v>
      </c>
      <c r="J970">
        <v>61</v>
      </c>
      <c r="K970">
        <f t="shared" si="45"/>
        <v>0</v>
      </c>
      <c r="L970" s="4">
        <f t="shared" ca="1" si="46"/>
        <v>13</v>
      </c>
      <c r="M970" t="str">
        <f t="shared" si="47"/>
        <v>Mar-2025</v>
      </c>
      <c r="N970" t="s">
        <v>15</v>
      </c>
    </row>
    <row r="971" spans="1:14" x14ac:dyDescent="0.25">
      <c r="A971" t="s">
        <v>999</v>
      </c>
      <c r="B971" s="1">
        <v>45559</v>
      </c>
      <c r="D971">
        <v>58</v>
      </c>
      <c r="E971" t="s">
        <v>12</v>
      </c>
      <c r="F971" t="s">
        <v>17</v>
      </c>
      <c r="G971" t="s">
        <v>18</v>
      </c>
      <c r="H971">
        <v>10387</v>
      </c>
      <c r="I971">
        <v>13</v>
      </c>
      <c r="J971">
        <v>67</v>
      </c>
      <c r="K971">
        <f t="shared" si="45"/>
        <v>0</v>
      </c>
      <c r="L971" s="4">
        <f t="shared" ca="1" si="46"/>
        <v>18</v>
      </c>
      <c r="M971" t="str">
        <f t="shared" si="47"/>
        <v>Sep-2024</v>
      </c>
      <c r="N971" t="s">
        <v>15</v>
      </c>
    </row>
    <row r="972" spans="1:14" x14ac:dyDescent="0.25">
      <c r="A972" t="s">
        <v>1000</v>
      </c>
      <c r="B972" s="1">
        <v>45352</v>
      </c>
      <c r="D972">
        <v>18</v>
      </c>
      <c r="E972" t="s">
        <v>21</v>
      </c>
      <c r="F972" t="s">
        <v>47</v>
      </c>
      <c r="G972" t="s">
        <v>14</v>
      </c>
      <c r="H972">
        <v>13980</v>
      </c>
      <c r="I972">
        <v>20</v>
      </c>
      <c r="J972">
        <v>83</v>
      </c>
      <c r="K972">
        <f t="shared" si="45"/>
        <v>0</v>
      </c>
      <c r="L972" s="4">
        <f t="shared" ca="1" si="46"/>
        <v>25</v>
      </c>
      <c r="M972" t="str">
        <f t="shared" si="47"/>
        <v>Mar-2024</v>
      </c>
      <c r="N972" t="s">
        <v>23</v>
      </c>
    </row>
    <row r="973" spans="1:14" x14ac:dyDescent="0.25">
      <c r="A973" t="s">
        <v>1001</v>
      </c>
      <c r="B973" s="1">
        <v>45568</v>
      </c>
      <c r="D973">
        <v>57</v>
      </c>
      <c r="E973" t="s">
        <v>21</v>
      </c>
      <c r="F973" t="s">
        <v>38</v>
      </c>
      <c r="G973" t="s">
        <v>14</v>
      </c>
      <c r="H973">
        <v>9087</v>
      </c>
      <c r="I973">
        <v>13</v>
      </c>
      <c r="J973">
        <v>79</v>
      </c>
      <c r="K973">
        <f t="shared" si="45"/>
        <v>0</v>
      </c>
      <c r="L973" s="4">
        <f t="shared" ca="1" si="46"/>
        <v>18</v>
      </c>
      <c r="M973" t="str">
        <f t="shared" si="47"/>
        <v>Oct-2024</v>
      </c>
      <c r="N973" t="s">
        <v>23</v>
      </c>
    </row>
    <row r="974" spans="1:14" x14ac:dyDescent="0.25">
      <c r="A974" t="s">
        <v>1002</v>
      </c>
      <c r="B974" s="1">
        <v>45708</v>
      </c>
      <c r="D974">
        <v>45</v>
      </c>
      <c r="E974" t="s">
        <v>12</v>
      </c>
      <c r="F974" t="s">
        <v>13</v>
      </c>
      <c r="G974" t="s">
        <v>18</v>
      </c>
      <c r="H974">
        <v>6392</v>
      </c>
      <c r="I974">
        <v>8</v>
      </c>
      <c r="J974">
        <v>49</v>
      </c>
      <c r="K974">
        <f t="shared" si="45"/>
        <v>0</v>
      </c>
      <c r="L974" s="4">
        <f t="shared" ca="1" si="46"/>
        <v>13</v>
      </c>
      <c r="M974" t="str">
        <f t="shared" si="47"/>
        <v>Feb-2025</v>
      </c>
      <c r="N974" t="s">
        <v>23</v>
      </c>
    </row>
    <row r="975" spans="1:14" x14ac:dyDescent="0.25">
      <c r="A975" t="s">
        <v>1003</v>
      </c>
      <c r="B975" s="1">
        <v>45513</v>
      </c>
      <c r="D975">
        <v>51</v>
      </c>
      <c r="E975" t="s">
        <v>21</v>
      </c>
      <c r="F975" t="s">
        <v>27</v>
      </c>
      <c r="G975" t="s">
        <v>18</v>
      </c>
      <c r="H975">
        <v>11186</v>
      </c>
      <c r="I975">
        <v>14</v>
      </c>
      <c r="J975">
        <v>100</v>
      </c>
      <c r="K975">
        <f t="shared" si="45"/>
        <v>0</v>
      </c>
      <c r="L975" s="4">
        <f t="shared" ca="1" si="46"/>
        <v>20</v>
      </c>
      <c r="M975" t="str">
        <f t="shared" si="47"/>
        <v>Aug-2024</v>
      </c>
      <c r="N975" t="s">
        <v>19</v>
      </c>
    </row>
    <row r="976" spans="1:14" x14ac:dyDescent="0.25">
      <c r="A976" t="s">
        <v>1004</v>
      </c>
      <c r="B976" s="1">
        <v>45331</v>
      </c>
      <c r="D976">
        <v>59</v>
      </c>
      <c r="E976" t="s">
        <v>21</v>
      </c>
      <c r="F976" t="s">
        <v>41</v>
      </c>
      <c r="G976" t="s">
        <v>18</v>
      </c>
      <c r="H976">
        <v>16779</v>
      </c>
      <c r="I976">
        <v>21</v>
      </c>
      <c r="J976">
        <v>45</v>
      </c>
      <c r="K976">
        <f t="shared" si="45"/>
        <v>0</v>
      </c>
      <c r="L976" s="4">
        <f t="shared" ca="1" si="46"/>
        <v>26</v>
      </c>
      <c r="M976" t="str">
        <f t="shared" si="47"/>
        <v>Feb-2024</v>
      </c>
      <c r="N976" t="s">
        <v>19</v>
      </c>
    </row>
    <row r="977" spans="1:14" x14ac:dyDescent="0.25">
      <c r="A977" t="s">
        <v>1005</v>
      </c>
      <c r="B977" s="1">
        <v>45090</v>
      </c>
      <c r="C977" s="1">
        <v>45630</v>
      </c>
      <c r="D977">
        <v>39</v>
      </c>
      <c r="E977" t="s">
        <v>12</v>
      </c>
      <c r="F977" t="s">
        <v>41</v>
      </c>
      <c r="G977" t="s">
        <v>14</v>
      </c>
      <c r="H977">
        <v>12582</v>
      </c>
      <c r="I977">
        <v>18</v>
      </c>
      <c r="J977">
        <v>21</v>
      </c>
      <c r="K977">
        <f t="shared" si="45"/>
        <v>1</v>
      </c>
      <c r="L977" s="4">
        <f t="shared" ca="1" si="46"/>
        <v>18</v>
      </c>
      <c r="M977" t="str">
        <f t="shared" si="47"/>
        <v>Jun-2023</v>
      </c>
      <c r="N977" t="s">
        <v>19</v>
      </c>
    </row>
    <row r="978" spans="1:14" x14ac:dyDescent="0.25">
      <c r="A978" t="s">
        <v>1006</v>
      </c>
      <c r="B978" s="1">
        <v>45947</v>
      </c>
      <c r="C978" s="1">
        <v>45962</v>
      </c>
      <c r="D978">
        <v>56</v>
      </c>
      <c r="E978" t="s">
        <v>12</v>
      </c>
      <c r="F978" t="s">
        <v>27</v>
      </c>
      <c r="G978" t="s">
        <v>18</v>
      </c>
      <c r="H978">
        <v>799</v>
      </c>
      <c r="I978">
        <v>1</v>
      </c>
      <c r="J978">
        <v>44</v>
      </c>
      <c r="K978">
        <f t="shared" si="45"/>
        <v>1</v>
      </c>
      <c r="L978" s="4">
        <f t="shared" ca="1" si="46"/>
        <v>1</v>
      </c>
      <c r="M978" t="str">
        <f t="shared" si="47"/>
        <v>Oct-2025</v>
      </c>
      <c r="N978" t="s">
        <v>19</v>
      </c>
    </row>
    <row r="979" spans="1:14" x14ac:dyDescent="0.25">
      <c r="A979" t="s">
        <v>1007</v>
      </c>
      <c r="B979" s="1">
        <v>45619</v>
      </c>
      <c r="D979">
        <v>22</v>
      </c>
      <c r="E979" t="s">
        <v>12</v>
      </c>
      <c r="F979" t="s">
        <v>38</v>
      </c>
      <c r="G979" t="s">
        <v>18</v>
      </c>
      <c r="H979">
        <v>8789</v>
      </c>
      <c r="I979">
        <v>11</v>
      </c>
      <c r="J979">
        <v>55</v>
      </c>
      <c r="K979">
        <f t="shared" si="45"/>
        <v>0</v>
      </c>
      <c r="L979" s="4">
        <f t="shared" ca="1" si="46"/>
        <v>16</v>
      </c>
      <c r="M979" t="str">
        <f t="shared" si="47"/>
        <v>Nov-2024</v>
      </c>
      <c r="N979" t="s">
        <v>23</v>
      </c>
    </row>
    <row r="980" spans="1:14" x14ac:dyDescent="0.25">
      <c r="A980" t="s">
        <v>1008</v>
      </c>
      <c r="B980" s="1">
        <v>45019</v>
      </c>
      <c r="D980">
        <v>39</v>
      </c>
      <c r="E980" t="s">
        <v>21</v>
      </c>
      <c r="F980" t="s">
        <v>57</v>
      </c>
      <c r="G980" t="s">
        <v>14</v>
      </c>
      <c r="H980">
        <v>21669</v>
      </c>
      <c r="I980">
        <v>31</v>
      </c>
      <c r="J980">
        <v>23</v>
      </c>
      <c r="K980">
        <f t="shared" si="45"/>
        <v>0</v>
      </c>
      <c r="L980" s="4">
        <f t="shared" ca="1" si="46"/>
        <v>36</v>
      </c>
      <c r="M980" t="str">
        <f t="shared" si="47"/>
        <v>Apr-2023</v>
      </c>
      <c r="N980" t="s">
        <v>25</v>
      </c>
    </row>
    <row r="981" spans="1:14" x14ac:dyDescent="0.25">
      <c r="A981" t="s">
        <v>1009</v>
      </c>
      <c r="B981" s="1">
        <v>45335</v>
      </c>
      <c r="D981">
        <v>28</v>
      </c>
      <c r="E981" t="s">
        <v>12</v>
      </c>
      <c r="F981" t="s">
        <v>38</v>
      </c>
      <c r="G981" t="s">
        <v>18</v>
      </c>
      <c r="H981">
        <v>15980</v>
      </c>
      <c r="I981">
        <v>20</v>
      </c>
      <c r="J981">
        <v>56</v>
      </c>
      <c r="K981">
        <f t="shared" si="45"/>
        <v>0</v>
      </c>
      <c r="L981" s="4">
        <f t="shared" ca="1" si="46"/>
        <v>26</v>
      </c>
      <c r="M981" t="str">
        <f t="shared" si="47"/>
        <v>Feb-2024</v>
      </c>
      <c r="N981" t="s">
        <v>19</v>
      </c>
    </row>
    <row r="982" spans="1:14" x14ac:dyDescent="0.25">
      <c r="A982" t="s">
        <v>1010</v>
      </c>
      <c r="B982" s="1">
        <v>45701</v>
      </c>
      <c r="D982">
        <v>40</v>
      </c>
      <c r="E982" t="s">
        <v>12</v>
      </c>
      <c r="F982" t="s">
        <v>32</v>
      </c>
      <c r="G982" t="s">
        <v>18</v>
      </c>
      <c r="H982">
        <v>6392</v>
      </c>
      <c r="I982">
        <v>8</v>
      </c>
      <c r="J982">
        <v>58</v>
      </c>
      <c r="K982">
        <f t="shared" si="45"/>
        <v>0</v>
      </c>
      <c r="L982" s="4">
        <f t="shared" ca="1" si="46"/>
        <v>14</v>
      </c>
      <c r="M982" t="str">
        <f t="shared" si="47"/>
        <v>Feb-2025</v>
      </c>
      <c r="N982" t="s">
        <v>19</v>
      </c>
    </row>
    <row r="983" spans="1:14" x14ac:dyDescent="0.25">
      <c r="A983" t="s">
        <v>1011</v>
      </c>
      <c r="B983" s="1">
        <v>45916</v>
      </c>
      <c r="D983">
        <v>50</v>
      </c>
      <c r="E983" t="s">
        <v>12</v>
      </c>
      <c r="F983" t="s">
        <v>57</v>
      </c>
      <c r="G983" t="s">
        <v>18</v>
      </c>
      <c r="H983">
        <v>799</v>
      </c>
      <c r="I983">
        <v>1</v>
      </c>
      <c r="J983">
        <v>74</v>
      </c>
      <c r="K983">
        <f t="shared" si="45"/>
        <v>0</v>
      </c>
      <c r="L983" s="4">
        <f t="shared" ca="1" si="46"/>
        <v>7</v>
      </c>
      <c r="M983" t="str">
        <f t="shared" si="47"/>
        <v>Sep-2025</v>
      </c>
      <c r="N983" t="s">
        <v>23</v>
      </c>
    </row>
    <row r="984" spans="1:14" x14ac:dyDescent="0.25">
      <c r="A984" t="s">
        <v>1012</v>
      </c>
      <c r="B984" s="1">
        <v>45440</v>
      </c>
      <c r="D984">
        <v>26</v>
      </c>
      <c r="E984" t="s">
        <v>21</v>
      </c>
      <c r="F984" t="s">
        <v>27</v>
      </c>
      <c r="G984" t="s">
        <v>18</v>
      </c>
      <c r="H984">
        <v>13583</v>
      </c>
      <c r="I984">
        <v>17</v>
      </c>
      <c r="J984">
        <v>64</v>
      </c>
      <c r="K984">
        <f t="shared" si="45"/>
        <v>0</v>
      </c>
      <c r="L984" s="4">
        <f t="shared" ca="1" si="46"/>
        <v>22</v>
      </c>
      <c r="M984" t="str">
        <f t="shared" si="47"/>
        <v>May-2024</v>
      </c>
      <c r="N984" t="s">
        <v>23</v>
      </c>
    </row>
    <row r="985" spans="1:14" x14ac:dyDescent="0.25">
      <c r="A985" t="s">
        <v>1013</v>
      </c>
      <c r="B985" s="1">
        <v>45165</v>
      </c>
      <c r="D985">
        <v>49</v>
      </c>
      <c r="E985" t="s">
        <v>21</v>
      </c>
      <c r="F985" t="s">
        <v>17</v>
      </c>
      <c r="G985" t="s">
        <v>18</v>
      </c>
      <c r="H985">
        <v>20774</v>
      </c>
      <c r="I985">
        <v>26</v>
      </c>
      <c r="J985">
        <v>68</v>
      </c>
      <c r="K985">
        <f t="shared" si="45"/>
        <v>0</v>
      </c>
      <c r="L985" s="4">
        <f t="shared" ca="1" si="46"/>
        <v>32</v>
      </c>
      <c r="M985" t="str">
        <f t="shared" si="47"/>
        <v>Aug-2023</v>
      </c>
      <c r="N985" t="s">
        <v>23</v>
      </c>
    </row>
    <row r="986" spans="1:14" x14ac:dyDescent="0.25">
      <c r="A986" t="s">
        <v>1014</v>
      </c>
      <c r="B986" s="1">
        <v>45637</v>
      </c>
      <c r="D986">
        <v>23</v>
      </c>
      <c r="E986" t="s">
        <v>21</v>
      </c>
      <c r="F986" t="s">
        <v>47</v>
      </c>
      <c r="G986" t="s">
        <v>30</v>
      </c>
      <c r="H986">
        <v>7490</v>
      </c>
      <c r="I986">
        <v>10</v>
      </c>
      <c r="J986">
        <v>73</v>
      </c>
      <c r="K986">
        <f t="shared" si="45"/>
        <v>0</v>
      </c>
      <c r="L986" s="4">
        <f t="shared" ca="1" si="46"/>
        <v>16</v>
      </c>
      <c r="M986" t="str">
        <f t="shared" si="47"/>
        <v>Dec-2024</v>
      </c>
      <c r="N986" t="s">
        <v>19</v>
      </c>
    </row>
    <row r="987" spans="1:14" x14ac:dyDescent="0.25">
      <c r="A987" t="s">
        <v>1015</v>
      </c>
      <c r="B987" s="1">
        <v>44985</v>
      </c>
      <c r="D987">
        <v>33</v>
      </c>
      <c r="E987" t="s">
        <v>12</v>
      </c>
      <c r="F987" t="s">
        <v>22</v>
      </c>
      <c r="G987" t="s">
        <v>18</v>
      </c>
      <c r="H987">
        <v>25568</v>
      </c>
      <c r="I987">
        <v>32</v>
      </c>
      <c r="J987">
        <v>73</v>
      </c>
      <c r="K987">
        <f t="shared" si="45"/>
        <v>0</v>
      </c>
      <c r="L987" s="4">
        <f t="shared" ca="1" si="46"/>
        <v>38</v>
      </c>
      <c r="M987" t="str">
        <f t="shared" si="47"/>
        <v>Feb-2023</v>
      </c>
      <c r="N987" t="s">
        <v>19</v>
      </c>
    </row>
    <row r="988" spans="1:14" x14ac:dyDescent="0.25">
      <c r="A988" t="s">
        <v>1016</v>
      </c>
      <c r="B988" s="1">
        <v>44880</v>
      </c>
      <c r="D988">
        <v>22</v>
      </c>
      <c r="E988" t="s">
        <v>12</v>
      </c>
      <c r="F988" t="s">
        <v>29</v>
      </c>
      <c r="G988" t="s">
        <v>18</v>
      </c>
      <c r="H988">
        <v>28764</v>
      </c>
      <c r="I988">
        <v>36</v>
      </c>
      <c r="J988">
        <v>45</v>
      </c>
      <c r="K988">
        <f t="shared" si="45"/>
        <v>0</v>
      </c>
      <c r="L988" s="4">
        <f t="shared" ca="1" si="46"/>
        <v>41</v>
      </c>
      <c r="M988" t="str">
        <f t="shared" si="47"/>
        <v>Nov-2022</v>
      </c>
      <c r="N988" t="s">
        <v>19</v>
      </c>
    </row>
    <row r="989" spans="1:14" x14ac:dyDescent="0.25">
      <c r="A989" t="s">
        <v>1017</v>
      </c>
      <c r="B989" s="1">
        <v>45288</v>
      </c>
      <c r="D989">
        <v>43</v>
      </c>
      <c r="E989" t="s">
        <v>12</v>
      </c>
      <c r="F989" t="s">
        <v>47</v>
      </c>
      <c r="G989" t="s">
        <v>18</v>
      </c>
      <c r="H989">
        <v>17578</v>
      </c>
      <c r="I989">
        <v>22</v>
      </c>
      <c r="J989">
        <v>88</v>
      </c>
      <c r="K989">
        <f t="shared" si="45"/>
        <v>0</v>
      </c>
      <c r="L989" s="4">
        <f t="shared" ca="1" si="46"/>
        <v>27</v>
      </c>
      <c r="M989" t="str">
        <f t="shared" si="47"/>
        <v>Dec-2023</v>
      </c>
      <c r="N989" t="s">
        <v>23</v>
      </c>
    </row>
    <row r="990" spans="1:14" x14ac:dyDescent="0.25">
      <c r="A990" t="s">
        <v>1018</v>
      </c>
      <c r="B990" s="1">
        <v>45801</v>
      </c>
      <c r="C990" s="1">
        <v>45861</v>
      </c>
      <c r="D990">
        <v>25</v>
      </c>
      <c r="E990" t="s">
        <v>21</v>
      </c>
      <c r="F990" t="s">
        <v>47</v>
      </c>
      <c r="G990" t="s">
        <v>18</v>
      </c>
      <c r="H990">
        <v>1598</v>
      </c>
      <c r="I990">
        <v>2</v>
      </c>
      <c r="J990">
        <v>78</v>
      </c>
      <c r="K990">
        <f t="shared" si="45"/>
        <v>1</v>
      </c>
      <c r="L990" s="4">
        <f t="shared" ca="1" si="46"/>
        <v>2</v>
      </c>
      <c r="M990" t="str">
        <f t="shared" si="47"/>
        <v>May-2025</v>
      </c>
      <c r="N990" t="s">
        <v>15</v>
      </c>
    </row>
    <row r="991" spans="1:14" x14ac:dyDescent="0.25">
      <c r="A991" t="s">
        <v>1019</v>
      </c>
      <c r="B991" s="1">
        <v>45254</v>
      </c>
      <c r="D991">
        <v>55</v>
      </c>
      <c r="E991" t="s">
        <v>21</v>
      </c>
      <c r="F991" t="s">
        <v>29</v>
      </c>
      <c r="G991" t="s">
        <v>18</v>
      </c>
      <c r="H991">
        <v>18377</v>
      </c>
      <c r="I991">
        <v>23</v>
      </c>
      <c r="J991">
        <v>60</v>
      </c>
      <c r="K991">
        <f t="shared" si="45"/>
        <v>0</v>
      </c>
      <c r="L991" s="4">
        <f t="shared" ca="1" si="46"/>
        <v>29</v>
      </c>
      <c r="M991" t="str">
        <f t="shared" si="47"/>
        <v>Nov-2023</v>
      </c>
      <c r="N991" t="s">
        <v>25</v>
      </c>
    </row>
    <row r="992" spans="1:14" x14ac:dyDescent="0.25">
      <c r="A992" t="s">
        <v>1020</v>
      </c>
      <c r="B992" s="1">
        <v>45271</v>
      </c>
      <c r="D992">
        <v>39</v>
      </c>
      <c r="E992" t="s">
        <v>21</v>
      </c>
      <c r="F992" t="s">
        <v>27</v>
      </c>
      <c r="G992" t="s">
        <v>18</v>
      </c>
      <c r="H992">
        <v>18377</v>
      </c>
      <c r="I992">
        <v>23</v>
      </c>
      <c r="J992">
        <v>75</v>
      </c>
      <c r="K992">
        <f t="shared" si="45"/>
        <v>0</v>
      </c>
      <c r="L992" s="4">
        <f t="shared" ca="1" si="46"/>
        <v>28</v>
      </c>
      <c r="M992" t="str">
        <f t="shared" si="47"/>
        <v>Dec-2023</v>
      </c>
      <c r="N992" t="s">
        <v>19</v>
      </c>
    </row>
    <row r="993" spans="1:14" x14ac:dyDescent="0.25">
      <c r="A993" t="s">
        <v>1021</v>
      </c>
      <c r="B993" s="1">
        <v>45749</v>
      </c>
      <c r="D993">
        <v>27</v>
      </c>
      <c r="E993" t="s">
        <v>21</v>
      </c>
      <c r="F993" t="s">
        <v>29</v>
      </c>
      <c r="G993" t="s">
        <v>14</v>
      </c>
      <c r="H993">
        <v>4893</v>
      </c>
      <c r="I993">
        <v>7</v>
      </c>
      <c r="J993">
        <v>72</v>
      </c>
      <c r="K993">
        <f t="shared" si="45"/>
        <v>0</v>
      </c>
      <c r="L993" s="4">
        <f t="shared" ca="1" si="46"/>
        <v>12</v>
      </c>
      <c r="M993" t="str">
        <f t="shared" si="47"/>
        <v>Apr-2025</v>
      </c>
      <c r="N993" t="s">
        <v>19</v>
      </c>
    </row>
    <row r="994" spans="1:14" x14ac:dyDescent="0.25">
      <c r="A994" t="s">
        <v>1022</v>
      </c>
      <c r="B994" s="1">
        <v>45637</v>
      </c>
      <c r="D994">
        <v>49</v>
      </c>
      <c r="E994" t="s">
        <v>12</v>
      </c>
      <c r="F994" t="s">
        <v>27</v>
      </c>
      <c r="G994" t="s">
        <v>30</v>
      </c>
      <c r="H994">
        <v>7490</v>
      </c>
      <c r="I994">
        <v>10</v>
      </c>
      <c r="J994">
        <v>47</v>
      </c>
      <c r="K994">
        <f t="shared" si="45"/>
        <v>0</v>
      </c>
      <c r="L994" s="4">
        <f t="shared" ca="1" si="46"/>
        <v>16</v>
      </c>
      <c r="M994" t="str">
        <f t="shared" si="47"/>
        <v>Dec-2024</v>
      </c>
      <c r="N994" t="s">
        <v>25</v>
      </c>
    </row>
    <row r="995" spans="1:14" x14ac:dyDescent="0.25">
      <c r="A995" t="s">
        <v>1023</v>
      </c>
      <c r="B995" s="1">
        <v>45069</v>
      </c>
      <c r="D995">
        <v>25</v>
      </c>
      <c r="E995" t="s">
        <v>21</v>
      </c>
      <c r="F995" t="s">
        <v>47</v>
      </c>
      <c r="G995" t="s">
        <v>18</v>
      </c>
      <c r="H995">
        <v>23171</v>
      </c>
      <c r="I995">
        <v>29</v>
      </c>
      <c r="J995">
        <v>100</v>
      </c>
      <c r="K995">
        <f t="shared" si="45"/>
        <v>0</v>
      </c>
      <c r="L995" s="4">
        <f t="shared" ca="1" si="46"/>
        <v>35</v>
      </c>
      <c r="M995" t="str">
        <f t="shared" si="47"/>
        <v>May-2023</v>
      </c>
      <c r="N995" t="s">
        <v>19</v>
      </c>
    </row>
    <row r="996" spans="1:14" x14ac:dyDescent="0.25">
      <c r="A996" t="s">
        <v>1024</v>
      </c>
      <c r="B996" s="1">
        <v>45088</v>
      </c>
      <c r="D996">
        <v>24</v>
      </c>
      <c r="E996" t="s">
        <v>21</v>
      </c>
      <c r="F996" t="s">
        <v>29</v>
      </c>
      <c r="G996" t="s">
        <v>30</v>
      </c>
      <c r="H996">
        <v>21721</v>
      </c>
      <c r="I996">
        <v>29</v>
      </c>
      <c r="J996">
        <v>61</v>
      </c>
      <c r="K996">
        <f t="shared" si="45"/>
        <v>0</v>
      </c>
      <c r="L996" s="4">
        <f t="shared" ca="1" si="46"/>
        <v>34</v>
      </c>
      <c r="M996" t="str">
        <f t="shared" si="47"/>
        <v>Jun-2023</v>
      </c>
      <c r="N996" t="s">
        <v>19</v>
      </c>
    </row>
    <row r="997" spans="1:14" x14ac:dyDescent="0.25">
      <c r="A997" t="s">
        <v>1025</v>
      </c>
      <c r="B997" s="1">
        <v>45914</v>
      </c>
      <c r="D997">
        <v>55</v>
      </c>
      <c r="E997" t="s">
        <v>12</v>
      </c>
      <c r="F997" t="s">
        <v>32</v>
      </c>
      <c r="G997" t="s">
        <v>18</v>
      </c>
      <c r="H997">
        <v>799</v>
      </c>
      <c r="I997">
        <v>1</v>
      </c>
      <c r="J997">
        <v>87</v>
      </c>
      <c r="K997">
        <f t="shared" si="45"/>
        <v>0</v>
      </c>
      <c r="L997" s="4">
        <f t="shared" ca="1" si="46"/>
        <v>7</v>
      </c>
      <c r="M997" t="str">
        <f t="shared" si="47"/>
        <v>Sep-2025</v>
      </c>
      <c r="N997" t="s">
        <v>23</v>
      </c>
    </row>
    <row r="998" spans="1:14" x14ac:dyDescent="0.25">
      <c r="A998" t="s">
        <v>1026</v>
      </c>
      <c r="B998" s="1">
        <v>45235</v>
      </c>
      <c r="D998">
        <v>36</v>
      </c>
      <c r="E998" t="s">
        <v>21</v>
      </c>
      <c r="F998" t="s">
        <v>13</v>
      </c>
      <c r="G998" t="s">
        <v>14</v>
      </c>
      <c r="H998">
        <v>16776</v>
      </c>
      <c r="I998">
        <v>24</v>
      </c>
      <c r="J998">
        <v>83</v>
      </c>
      <c r="K998">
        <f t="shared" si="45"/>
        <v>0</v>
      </c>
      <c r="L998" s="4">
        <f t="shared" ca="1" si="46"/>
        <v>29</v>
      </c>
      <c r="M998" t="str">
        <f t="shared" si="47"/>
        <v>Nov-2023</v>
      </c>
      <c r="N998" t="s">
        <v>23</v>
      </c>
    </row>
    <row r="999" spans="1:14" x14ac:dyDescent="0.25">
      <c r="A999" t="s">
        <v>1027</v>
      </c>
      <c r="B999" s="1">
        <v>45402</v>
      </c>
      <c r="D999">
        <v>51</v>
      </c>
      <c r="E999" t="s">
        <v>21</v>
      </c>
      <c r="F999" t="s">
        <v>41</v>
      </c>
      <c r="G999" t="s">
        <v>18</v>
      </c>
      <c r="H999">
        <v>14382</v>
      </c>
      <c r="I999">
        <v>18</v>
      </c>
      <c r="J999">
        <v>13</v>
      </c>
      <c r="K999">
        <f t="shared" si="45"/>
        <v>0</v>
      </c>
      <c r="L999" s="4">
        <f t="shared" ca="1" si="46"/>
        <v>24</v>
      </c>
      <c r="M999" t="str">
        <f t="shared" si="47"/>
        <v>Apr-2024</v>
      </c>
      <c r="N999" t="s">
        <v>19</v>
      </c>
    </row>
    <row r="1000" spans="1:14" x14ac:dyDescent="0.25">
      <c r="A1000" t="s">
        <v>1028</v>
      </c>
      <c r="B1000" s="1">
        <v>45916</v>
      </c>
      <c r="D1000">
        <v>53</v>
      </c>
      <c r="E1000" t="s">
        <v>12</v>
      </c>
      <c r="F1000" t="s">
        <v>41</v>
      </c>
      <c r="G1000" t="s">
        <v>18</v>
      </c>
      <c r="H1000">
        <v>799</v>
      </c>
      <c r="I1000">
        <v>1</v>
      </c>
      <c r="J1000">
        <v>44</v>
      </c>
      <c r="K1000">
        <f t="shared" si="45"/>
        <v>0</v>
      </c>
      <c r="L1000" s="4">
        <f t="shared" ca="1" si="46"/>
        <v>7</v>
      </c>
      <c r="M1000" t="str">
        <f t="shared" si="47"/>
        <v>Sep-2025</v>
      </c>
      <c r="N1000" t="s">
        <v>23</v>
      </c>
    </row>
    <row r="1001" spans="1:14" x14ac:dyDescent="0.25">
      <c r="A1001" t="s">
        <v>1029</v>
      </c>
      <c r="B1001" s="1">
        <v>45708</v>
      </c>
      <c r="D1001">
        <v>29</v>
      </c>
      <c r="E1001" t="s">
        <v>12</v>
      </c>
      <c r="F1001" t="s">
        <v>32</v>
      </c>
      <c r="G1001" t="s">
        <v>30</v>
      </c>
      <c r="H1001">
        <v>5992</v>
      </c>
      <c r="I1001">
        <v>8</v>
      </c>
      <c r="J1001">
        <v>68</v>
      </c>
      <c r="K1001">
        <f t="shared" si="45"/>
        <v>0</v>
      </c>
      <c r="L1001" s="4">
        <f t="shared" ca="1" si="46"/>
        <v>13</v>
      </c>
      <c r="M1001" t="str">
        <f t="shared" si="47"/>
        <v>Feb-2025</v>
      </c>
      <c r="N1001" t="s">
        <v>19</v>
      </c>
    </row>
    <row r="1002" spans="1:14" x14ac:dyDescent="0.25">
      <c r="A1002" t="s">
        <v>1030</v>
      </c>
      <c r="B1002" s="1">
        <v>44958</v>
      </c>
      <c r="D1002">
        <v>23</v>
      </c>
      <c r="E1002" t="s">
        <v>21</v>
      </c>
      <c r="F1002" t="s">
        <v>32</v>
      </c>
      <c r="G1002" t="s">
        <v>18</v>
      </c>
      <c r="H1002">
        <v>26367</v>
      </c>
      <c r="I1002">
        <v>33</v>
      </c>
      <c r="J1002">
        <v>63</v>
      </c>
      <c r="K1002">
        <f t="shared" si="45"/>
        <v>0</v>
      </c>
      <c r="L1002" s="4">
        <f t="shared" ca="1" si="46"/>
        <v>38</v>
      </c>
      <c r="M1002" t="str">
        <f t="shared" si="47"/>
        <v>Feb-2023</v>
      </c>
      <c r="N1002" t="s">
        <v>19</v>
      </c>
    </row>
    <row r="1003" spans="1:14" x14ac:dyDescent="0.25">
      <c r="A1003" t="s">
        <v>1031</v>
      </c>
      <c r="B1003" s="1">
        <v>45941</v>
      </c>
      <c r="D1003">
        <v>47</v>
      </c>
      <c r="E1003" t="s">
        <v>12</v>
      </c>
      <c r="F1003" t="s">
        <v>32</v>
      </c>
      <c r="G1003" t="s">
        <v>18</v>
      </c>
      <c r="H1003">
        <v>799</v>
      </c>
      <c r="I1003">
        <v>1</v>
      </c>
      <c r="J1003">
        <v>84</v>
      </c>
      <c r="K1003">
        <f t="shared" si="45"/>
        <v>0</v>
      </c>
      <c r="L1003" s="4">
        <f t="shared" ca="1" si="46"/>
        <v>6</v>
      </c>
      <c r="M1003" t="str">
        <f t="shared" si="47"/>
        <v>Oct-2025</v>
      </c>
      <c r="N1003" t="s">
        <v>25</v>
      </c>
    </row>
    <row r="1004" spans="1:14" x14ac:dyDescent="0.25">
      <c r="A1004" t="s">
        <v>1032</v>
      </c>
      <c r="B1004" s="1">
        <v>45362</v>
      </c>
      <c r="D1004">
        <v>48</v>
      </c>
      <c r="E1004" t="s">
        <v>12</v>
      </c>
      <c r="F1004" t="s">
        <v>13</v>
      </c>
      <c r="G1004" t="s">
        <v>30</v>
      </c>
      <c r="H1004">
        <v>14980</v>
      </c>
      <c r="I1004">
        <v>20</v>
      </c>
      <c r="J1004">
        <v>66</v>
      </c>
      <c r="K1004">
        <f t="shared" si="45"/>
        <v>0</v>
      </c>
      <c r="L1004" s="4">
        <f t="shared" ca="1" si="46"/>
        <v>25</v>
      </c>
      <c r="M1004" t="str">
        <f t="shared" si="47"/>
        <v>Mar-2024</v>
      </c>
      <c r="N1004" t="s">
        <v>19</v>
      </c>
    </row>
    <row r="1005" spans="1:14" x14ac:dyDescent="0.25">
      <c r="A1005" t="s">
        <v>1033</v>
      </c>
      <c r="B1005" s="1">
        <v>44944</v>
      </c>
      <c r="D1005">
        <v>43</v>
      </c>
      <c r="E1005" t="s">
        <v>12</v>
      </c>
      <c r="F1005" t="s">
        <v>38</v>
      </c>
      <c r="G1005" t="s">
        <v>18</v>
      </c>
      <c r="H1005">
        <v>26367</v>
      </c>
      <c r="I1005">
        <v>33</v>
      </c>
      <c r="J1005">
        <v>69</v>
      </c>
      <c r="K1005">
        <f t="shared" si="45"/>
        <v>0</v>
      </c>
      <c r="L1005" s="4">
        <f t="shared" ca="1" si="46"/>
        <v>39</v>
      </c>
      <c r="M1005" t="str">
        <f t="shared" si="47"/>
        <v>Jan-2023</v>
      </c>
      <c r="N1005" t="s">
        <v>19</v>
      </c>
    </row>
    <row r="1006" spans="1:14" x14ac:dyDescent="0.25">
      <c r="A1006" t="s">
        <v>1034</v>
      </c>
      <c r="B1006" s="1">
        <v>45295</v>
      </c>
      <c r="D1006">
        <v>56</v>
      </c>
      <c r="E1006" t="s">
        <v>21</v>
      </c>
      <c r="F1006" t="s">
        <v>47</v>
      </c>
      <c r="G1006" t="s">
        <v>18</v>
      </c>
      <c r="H1006">
        <v>17578</v>
      </c>
      <c r="I1006">
        <v>22</v>
      </c>
      <c r="J1006">
        <v>72</v>
      </c>
      <c r="K1006">
        <f t="shared" si="45"/>
        <v>0</v>
      </c>
      <c r="L1006" s="4">
        <f t="shared" ca="1" si="46"/>
        <v>27</v>
      </c>
      <c r="M1006" t="str">
        <f t="shared" si="47"/>
        <v>Jan-2024</v>
      </c>
      <c r="N1006" t="s">
        <v>19</v>
      </c>
    </row>
    <row r="1007" spans="1:14" x14ac:dyDescent="0.25">
      <c r="A1007" t="s">
        <v>1035</v>
      </c>
      <c r="B1007" s="1">
        <v>44986</v>
      </c>
      <c r="D1007">
        <v>38</v>
      </c>
      <c r="E1007" t="s">
        <v>21</v>
      </c>
      <c r="F1007" t="s">
        <v>22</v>
      </c>
      <c r="G1007" t="s">
        <v>14</v>
      </c>
      <c r="H1007">
        <v>22368</v>
      </c>
      <c r="I1007">
        <v>32</v>
      </c>
      <c r="J1007">
        <v>88</v>
      </c>
      <c r="K1007">
        <f t="shared" si="45"/>
        <v>0</v>
      </c>
      <c r="L1007" s="4">
        <f t="shared" ca="1" si="46"/>
        <v>38</v>
      </c>
      <c r="M1007" t="str">
        <f t="shared" si="47"/>
        <v>Mar-2023</v>
      </c>
      <c r="N1007" t="s">
        <v>19</v>
      </c>
    </row>
    <row r="1008" spans="1:14" x14ac:dyDescent="0.25">
      <c r="A1008" t="s">
        <v>1036</v>
      </c>
      <c r="B1008" s="1">
        <v>45565</v>
      </c>
      <c r="D1008">
        <v>53</v>
      </c>
      <c r="E1008" t="s">
        <v>21</v>
      </c>
      <c r="F1008" t="s">
        <v>22</v>
      </c>
      <c r="G1008" t="s">
        <v>30</v>
      </c>
      <c r="H1008">
        <v>9737</v>
      </c>
      <c r="I1008">
        <v>13</v>
      </c>
      <c r="J1008">
        <v>41</v>
      </c>
      <c r="K1008">
        <f t="shared" si="45"/>
        <v>0</v>
      </c>
      <c r="L1008" s="4">
        <f t="shared" ca="1" si="46"/>
        <v>18</v>
      </c>
      <c r="M1008" t="str">
        <f t="shared" si="47"/>
        <v>Sep-2024</v>
      </c>
      <c r="N1008" t="s">
        <v>19</v>
      </c>
    </row>
    <row r="1009" spans="1:14" x14ac:dyDescent="0.25">
      <c r="A1009" t="s">
        <v>1037</v>
      </c>
      <c r="B1009" s="1">
        <v>45550</v>
      </c>
      <c r="D1009">
        <v>19</v>
      </c>
      <c r="E1009" t="s">
        <v>12</v>
      </c>
      <c r="F1009" t="s">
        <v>41</v>
      </c>
      <c r="G1009" t="s">
        <v>18</v>
      </c>
      <c r="H1009">
        <v>10387</v>
      </c>
      <c r="I1009">
        <v>13</v>
      </c>
      <c r="J1009">
        <v>45</v>
      </c>
      <c r="K1009">
        <f t="shared" si="45"/>
        <v>0</v>
      </c>
      <c r="L1009" s="4">
        <f t="shared" ca="1" si="46"/>
        <v>19</v>
      </c>
      <c r="M1009" t="str">
        <f t="shared" si="47"/>
        <v>Sep-2024</v>
      </c>
      <c r="N1009" t="s">
        <v>23</v>
      </c>
    </row>
    <row r="1010" spans="1:14" x14ac:dyDescent="0.25">
      <c r="A1010" t="s">
        <v>1038</v>
      </c>
      <c r="B1010" s="1">
        <v>45390</v>
      </c>
      <c r="D1010">
        <v>40</v>
      </c>
      <c r="E1010" t="s">
        <v>12</v>
      </c>
      <c r="F1010" t="s">
        <v>57</v>
      </c>
      <c r="G1010" t="s">
        <v>18</v>
      </c>
      <c r="H1010">
        <v>15181</v>
      </c>
      <c r="I1010">
        <v>19</v>
      </c>
      <c r="J1010">
        <v>76</v>
      </c>
      <c r="K1010">
        <f t="shared" si="45"/>
        <v>0</v>
      </c>
      <c r="L1010" s="4">
        <f t="shared" ca="1" si="46"/>
        <v>24</v>
      </c>
      <c r="M1010" t="str">
        <f t="shared" si="47"/>
        <v>Apr-2024</v>
      </c>
      <c r="N1010" t="s">
        <v>25</v>
      </c>
    </row>
    <row r="1011" spans="1:14" x14ac:dyDescent="0.25">
      <c r="A1011" t="s">
        <v>1039</v>
      </c>
      <c r="B1011" s="1">
        <v>45748</v>
      </c>
      <c r="C1011" s="1">
        <v>45868</v>
      </c>
      <c r="D1011">
        <v>28</v>
      </c>
      <c r="E1011" t="s">
        <v>12</v>
      </c>
      <c r="F1011" t="s">
        <v>29</v>
      </c>
      <c r="G1011" t="s">
        <v>14</v>
      </c>
      <c r="H1011">
        <v>2796</v>
      </c>
      <c r="I1011">
        <v>4</v>
      </c>
      <c r="J1011">
        <v>31</v>
      </c>
      <c r="K1011">
        <f t="shared" si="45"/>
        <v>1</v>
      </c>
      <c r="L1011" s="4">
        <f t="shared" ca="1" si="46"/>
        <v>4</v>
      </c>
      <c r="M1011" t="str">
        <f t="shared" si="47"/>
        <v>Apr-2025</v>
      </c>
      <c r="N1011" t="s">
        <v>19</v>
      </c>
    </row>
    <row r="1012" spans="1:14" x14ac:dyDescent="0.25">
      <c r="A1012" t="s">
        <v>1040</v>
      </c>
      <c r="B1012" s="1">
        <v>45777</v>
      </c>
      <c r="D1012">
        <v>58</v>
      </c>
      <c r="E1012" t="s">
        <v>21</v>
      </c>
      <c r="F1012" t="s">
        <v>47</v>
      </c>
      <c r="G1012" t="s">
        <v>18</v>
      </c>
      <c r="H1012">
        <v>4794</v>
      </c>
      <c r="I1012">
        <v>6</v>
      </c>
      <c r="J1012">
        <v>68</v>
      </c>
      <c r="K1012">
        <f t="shared" si="45"/>
        <v>0</v>
      </c>
      <c r="L1012" s="4">
        <f t="shared" ca="1" si="46"/>
        <v>11</v>
      </c>
      <c r="M1012" t="str">
        <f t="shared" si="47"/>
        <v>Apr-2025</v>
      </c>
      <c r="N1012" t="s">
        <v>25</v>
      </c>
    </row>
    <row r="1013" spans="1:14" x14ac:dyDescent="0.25">
      <c r="A1013" t="s">
        <v>1041</v>
      </c>
      <c r="B1013" s="1">
        <v>45907</v>
      </c>
      <c r="D1013">
        <v>52</v>
      </c>
      <c r="E1013" t="s">
        <v>21</v>
      </c>
      <c r="F1013" t="s">
        <v>27</v>
      </c>
      <c r="G1013" t="s">
        <v>18</v>
      </c>
      <c r="H1013">
        <v>799</v>
      </c>
      <c r="I1013">
        <v>1</v>
      </c>
      <c r="J1013">
        <v>74</v>
      </c>
      <c r="K1013">
        <f t="shared" si="45"/>
        <v>0</v>
      </c>
      <c r="L1013" s="4">
        <f t="shared" ca="1" si="46"/>
        <v>7</v>
      </c>
      <c r="M1013" t="str">
        <f t="shared" si="47"/>
        <v>Sep-2025</v>
      </c>
      <c r="N1013" t="s">
        <v>19</v>
      </c>
    </row>
    <row r="1014" spans="1:14" x14ac:dyDescent="0.25">
      <c r="A1014" t="s">
        <v>1042</v>
      </c>
      <c r="B1014" s="1">
        <v>45333</v>
      </c>
      <c r="D1014">
        <v>22</v>
      </c>
      <c r="E1014" t="s">
        <v>12</v>
      </c>
      <c r="F1014" t="s">
        <v>13</v>
      </c>
      <c r="G1014" t="s">
        <v>18</v>
      </c>
      <c r="H1014">
        <v>15980</v>
      </c>
      <c r="I1014">
        <v>20</v>
      </c>
      <c r="J1014">
        <v>83</v>
      </c>
      <c r="K1014">
        <f t="shared" si="45"/>
        <v>0</v>
      </c>
      <c r="L1014" s="4">
        <f t="shared" ca="1" si="46"/>
        <v>26</v>
      </c>
      <c r="M1014" t="str">
        <f t="shared" si="47"/>
        <v>Feb-2024</v>
      </c>
      <c r="N1014" t="s">
        <v>23</v>
      </c>
    </row>
    <row r="1015" spans="1:14" x14ac:dyDescent="0.25">
      <c r="A1015" t="s">
        <v>1043</v>
      </c>
      <c r="B1015" s="1">
        <v>44940</v>
      </c>
      <c r="D1015">
        <v>46</v>
      </c>
      <c r="E1015" t="s">
        <v>12</v>
      </c>
      <c r="F1015" t="s">
        <v>57</v>
      </c>
      <c r="G1015" t="s">
        <v>18</v>
      </c>
      <c r="H1015">
        <v>27166</v>
      </c>
      <c r="I1015">
        <v>34</v>
      </c>
      <c r="J1015">
        <v>73</v>
      </c>
      <c r="K1015">
        <f t="shared" si="45"/>
        <v>0</v>
      </c>
      <c r="L1015" s="4">
        <f t="shared" ca="1" si="46"/>
        <v>39</v>
      </c>
      <c r="M1015" t="str">
        <f t="shared" si="47"/>
        <v>Jan-2023</v>
      </c>
      <c r="N1015" t="s">
        <v>23</v>
      </c>
    </row>
    <row r="1016" spans="1:14" x14ac:dyDescent="0.25">
      <c r="A1016" t="s">
        <v>1044</v>
      </c>
      <c r="B1016" s="1">
        <v>45487</v>
      </c>
      <c r="D1016">
        <v>42</v>
      </c>
      <c r="E1016" t="s">
        <v>21</v>
      </c>
      <c r="F1016" t="s">
        <v>27</v>
      </c>
      <c r="G1016" t="s">
        <v>18</v>
      </c>
      <c r="H1016">
        <v>11985</v>
      </c>
      <c r="I1016">
        <v>15</v>
      </c>
      <c r="J1016">
        <v>41</v>
      </c>
      <c r="K1016">
        <f t="shared" si="45"/>
        <v>0</v>
      </c>
      <c r="L1016" s="4">
        <f t="shared" ca="1" si="46"/>
        <v>21</v>
      </c>
      <c r="M1016" t="str">
        <f t="shared" si="47"/>
        <v>Jul-2024</v>
      </c>
      <c r="N1016" t="s">
        <v>25</v>
      </c>
    </row>
    <row r="1017" spans="1:14" x14ac:dyDescent="0.25">
      <c r="A1017" t="s">
        <v>1045</v>
      </c>
      <c r="B1017" s="1">
        <v>45910</v>
      </c>
      <c r="D1017">
        <v>22</v>
      </c>
      <c r="E1017" t="s">
        <v>21</v>
      </c>
      <c r="F1017" t="s">
        <v>22</v>
      </c>
      <c r="G1017" t="s">
        <v>18</v>
      </c>
      <c r="H1017">
        <v>799</v>
      </c>
      <c r="I1017">
        <v>1</v>
      </c>
      <c r="J1017">
        <v>70</v>
      </c>
      <c r="K1017">
        <f t="shared" si="45"/>
        <v>0</v>
      </c>
      <c r="L1017" s="4">
        <f t="shared" ca="1" si="46"/>
        <v>7</v>
      </c>
      <c r="M1017" t="str">
        <f t="shared" si="47"/>
        <v>Sep-2025</v>
      </c>
      <c r="N1017" t="s">
        <v>23</v>
      </c>
    </row>
    <row r="1018" spans="1:14" x14ac:dyDescent="0.25">
      <c r="A1018" t="s">
        <v>1046</v>
      </c>
      <c r="B1018" s="1">
        <v>45276</v>
      </c>
      <c r="D1018">
        <v>19</v>
      </c>
      <c r="E1018" t="s">
        <v>12</v>
      </c>
      <c r="F1018" t="s">
        <v>57</v>
      </c>
      <c r="G1018" t="s">
        <v>18</v>
      </c>
      <c r="H1018">
        <v>17578</v>
      </c>
      <c r="I1018">
        <v>22</v>
      </c>
      <c r="J1018">
        <v>76</v>
      </c>
      <c r="K1018">
        <f t="shared" si="45"/>
        <v>0</v>
      </c>
      <c r="L1018" s="4">
        <f t="shared" ca="1" si="46"/>
        <v>28</v>
      </c>
      <c r="M1018" t="str">
        <f t="shared" si="47"/>
        <v>Dec-2023</v>
      </c>
      <c r="N1018" t="s">
        <v>23</v>
      </c>
    </row>
    <row r="1019" spans="1:14" x14ac:dyDescent="0.25">
      <c r="A1019" t="s">
        <v>1047</v>
      </c>
      <c r="B1019" s="1">
        <v>44993</v>
      </c>
      <c r="D1019">
        <v>45</v>
      </c>
      <c r="E1019" t="s">
        <v>12</v>
      </c>
      <c r="F1019" t="s">
        <v>41</v>
      </c>
      <c r="G1019" t="s">
        <v>18</v>
      </c>
      <c r="H1019">
        <v>25568</v>
      </c>
      <c r="I1019">
        <v>32</v>
      </c>
      <c r="J1019">
        <v>40</v>
      </c>
      <c r="K1019">
        <f t="shared" si="45"/>
        <v>0</v>
      </c>
      <c r="L1019" s="4">
        <f t="shared" ca="1" si="46"/>
        <v>37</v>
      </c>
      <c r="M1019" t="str">
        <f t="shared" si="47"/>
        <v>Mar-2023</v>
      </c>
      <c r="N1019" t="s">
        <v>23</v>
      </c>
    </row>
    <row r="1020" spans="1:14" x14ac:dyDescent="0.25">
      <c r="A1020" t="s">
        <v>1048</v>
      </c>
      <c r="B1020" s="1">
        <v>45576</v>
      </c>
      <c r="D1020">
        <v>39</v>
      </c>
      <c r="E1020" t="s">
        <v>12</v>
      </c>
      <c r="F1020" t="s">
        <v>47</v>
      </c>
      <c r="G1020" t="s">
        <v>18</v>
      </c>
      <c r="H1020">
        <v>9588</v>
      </c>
      <c r="I1020">
        <v>12</v>
      </c>
      <c r="J1020">
        <v>42</v>
      </c>
      <c r="K1020">
        <f t="shared" si="45"/>
        <v>0</v>
      </c>
      <c r="L1020" s="4">
        <f t="shared" ca="1" si="46"/>
        <v>18</v>
      </c>
      <c r="M1020" t="str">
        <f t="shared" si="47"/>
        <v>Oct-2024</v>
      </c>
      <c r="N1020" t="s">
        <v>19</v>
      </c>
    </row>
    <row r="1021" spans="1:14" x14ac:dyDescent="0.25">
      <c r="A1021" t="s">
        <v>1049</v>
      </c>
      <c r="B1021" s="1">
        <v>45449</v>
      </c>
      <c r="D1021">
        <v>24</v>
      </c>
      <c r="E1021" t="s">
        <v>12</v>
      </c>
      <c r="F1021" t="s">
        <v>38</v>
      </c>
      <c r="G1021" t="s">
        <v>30</v>
      </c>
      <c r="H1021">
        <v>12733</v>
      </c>
      <c r="I1021">
        <v>17</v>
      </c>
      <c r="J1021">
        <v>56</v>
      </c>
      <c r="K1021">
        <f t="shared" si="45"/>
        <v>0</v>
      </c>
      <c r="L1021" s="4">
        <f t="shared" ca="1" si="46"/>
        <v>22</v>
      </c>
      <c r="M1021" t="str">
        <f t="shared" si="47"/>
        <v>Jun-2024</v>
      </c>
      <c r="N1021" t="s">
        <v>23</v>
      </c>
    </row>
    <row r="1022" spans="1:14" x14ac:dyDescent="0.25">
      <c r="A1022" t="s">
        <v>1050</v>
      </c>
      <c r="B1022" s="1">
        <v>45609</v>
      </c>
      <c r="D1022">
        <v>31</v>
      </c>
      <c r="E1022" t="s">
        <v>21</v>
      </c>
      <c r="F1022" t="s">
        <v>38</v>
      </c>
      <c r="G1022" t="s">
        <v>18</v>
      </c>
      <c r="H1022">
        <v>8789</v>
      </c>
      <c r="I1022">
        <v>11</v>
      </c>
      <c r="J1022">
        <v>51</v>
      </c>
      <c r="K1022">
        <f t="shared" si="45"/>
        <v>0</v>
      </c>
      <c r="L1022" s="4">
        <f t="shared" ca="1" si="46"/>
        <v>17</v>
      </c>
      <c r="M1022" t="str">
        <f t="shared" si="47"/>
        <v>Nov-2024</v>
      </c>
      <c r="N1022" t="s">
        <v>25</v>
      </c>
    </row>
    <row r="1023" spans="1:14" x14ac:dyDescent="0.25">
      <c r="A1023" t="s">
        <v>1051</v>
      </c>
      <c r="B1023" s="1">
        <v>44978</v>
      </c>
      <c r="D1023">
        <v>56</v>
      </c>
      <c r="E1023" t="s">
        <v>21</v>
      </c>
      <c r="F1023" t="s">
        <v>17</v>
      </c>
      <c r="G1023" t="s">
        <v>18</v>
      </c>
      <c r="H1023">
        <v>25568</v>
      </c>
      <c r="I1023">
        <v>32</v>
      </c>
      <c r="J1023">
        <v>75</v>
      </c>
      <c r="K1023">
        <f t="shared" si="45"/>
        <v>0</v>
      </c>
      <c r="L1023" s="4">
        <f t="shared" ca="1" si="46"/>
        <v>38</v>
      </c>
      <c r="M1023" t="str">
        <f t="shared" si="47"/>
        <v>Feb-2023</v>
      </c>
      <c r="N1023" t="s">
        <v>23</v>
      </c>
    </row>
    <row r="1024" spans="1:14" x14ac:dyDescent="0.25">
      <c r="A1024" t="s">
        <v>1052</v>
      </c>
      <c r="B1024" s="1">
        <v>45247</v>
      </c>
      <c r="C1024" s="1">
        <v>45547</v>
      </c>
      <c r="D1024">
        <v>18</v>
      </c>
      <c r="E1024" t="s">
        <v>12</v>
      </c>
      <c r="F1024" t="s">
        <v>41</v>
      </c>
      <c r="G1024" t="s">
        <v>18</v>
      </c>
      <c r="H1024">
        <v>7990</v>
      </c>
      <c r="I1024">
        <v>10</v>
      </c>
      <c r="J1024">
        <v>67</v>
      </c>
      <c r="K1024">
        <f t="shared" si="45"/>
        <v>1</v>
      </c>
      <c r="L1024" s="4">
        <f t="shared" ca="1" si="46"/>
        <v>10</v>
      </c>
      <c r="M1024" t="str">
        <f t="shared" si="47"/>
        <v>Nov-2023</v>
      </c>
      <c r="N1024" t="s">
        <v>15</v>
      </c>
    </row>
    <row r="1025" spans="1:14" x14ac:dyDescent="0.25">
      <c r="A1025" t="s">
        <v>1053</v>
      </c>
      <c r="B1025" s="1">
        <v>45745</v>
      </c>
      <c r="D1025">
        <v>26</v>
      </c>
      <c r="E1025" t="s">
        <v>21</v>
      </c>
      <c r="F1025" t="s">
        <v>29</v>
      </c>
      <c r="G1025" t="s">
        <v>30</v>
      </c>
      <c r="H1025">
        <v>5243</v>
      </c>
      <c r="I1025">
        <v>7</v>
      </c>
      <c r="J1025">
        <v>56</v>
      </c>
      <c r="K1025">
        <f t="shared" si="45"/>
        <v>0</v>
      </c>
      <c r="L1025" s="4">
        <f t="shared" ca="1" si="46"/>
        <v>12</v>
      </c>
      <c r="M1025" t="str">
        <f t="shared" si="47"/>
        <v>Mar-2025</v>
      </c>
      <c r="N1025" t="s">
        <v>19</v>
      </c>
    </row>
    <row r="1026" spans="1:14" x14ac:dyDescent="0.25">
      <c r="A1026" t="s">
        <v>1054</v>
      </c>
      <c r="B1026" s="1">
        <v>45732</v>
      </c>
      <c r="D1026">
        <v>42</v>
      </c>
      <c r="E1026" t="s">
        <v>12</v>
      </c>
      <c r="F1026" t="s">
        <v>29</v>
      </c>
      <c r="G1026" t="s">
        <v>18</v>
      </c>
      <c r="H1026">
        <v>5593</v>
      </c>
      <c r="I1026">
        <v>7</v>
      </c>
      <c r="J1026">
        <v>48</v>
      </c>
      <c r="K1026">
        <f t="shared" si="45"/>
        <v>0</v>
      </c>
      <c r="L1026" s="4">
        <f t="shared" ca="1" si="46"/>
        <v>13</v>
      </c>
      <c r="M1026" t="str">
        <f t="shared" si="47"/>
        <v>Mar-2025</v>
      </c>
      <c r="N1026" t="s">
        <v>19</v>
      </c>
    </row>
    <row r="1027" spans="1:14" x14ac:dyDescent="0.25">
      <c r="A1027" t="s">
        <v>1055</v>
      </c>
      <c r="B1027" s="1">
        <v>45734</v>
      </c>
      <c r="D1027">
        <v>18</v>
      </c>
      <c r="E1027" t="s">
        <v>12</v>
      </c>
      <c r="F1027" t="s">
        <v>29</v>
      </c>
      <c r="G1027" t="s">
        <v>18</v>
      </c>
      <c r="H1027">
        <v>5593</v>
      </c>
      <c r="I1027">
        <v>7</v>
      </c>
      <c r="J1027">
        <v>28</v>
      </c>
      <c r="K1027">
        <f t="shared" ref="K1027:K1090" si="48">IF(ISBLANK(C1027), 0, 1)</f>
        <v>0</v>
      </c>
      <c r="L1027" s="4">
        <f t="shared" ref="L1027:L1090" ca="1" si="49">ROUNDUP(DATEDIF(B1027, IF(ISBLANK(C1027), TODAY(), C1027), "d")/30, 0)</f>
        <v>13</v>
      </c>
      <c r="M1027" t="str">
        <f t="shared" ref="M1027:M1090" si="50">TEXT(B1027, "mmm-yyyy")</f>
        <v>Mar-2025</v>
      </c>
      <c r="N1027" t="s">
        <v>19</v>
      </c>
    </row>
    <row r="1028" spans="1:14" x14ac:dyDescent="0.25">
      <c r="A1028" t="s">
        <v>1056</v>
      </c>
      <c r="B1028" s="1">
        <v>45104</v>
      </c>
      <c r="D1028">
        <v>50</v>
      </c>
      <c r="E1028" t="s">
        <v>21</v>
      </c>
      <c r="F1028" t="s">
        <v>13</v>
      </c>
      <c r="G1028" t="s">
        <v>14</v>
      </c>
      <c r="H1028">
        <v>19572</v>
      </c>
      <c r="I1028">
        <v>28</v>
      </c>
      <c r="J1028">
        <v>90</v>
      </c>
      <c r="K1028">
        <f t="shared" si="48"/>
        <v>0</v>
      </c>
      <c r="L1028" s="4">
        <f t="shared" ca="1" si="49"/>
        <v>34</v>
      </c>
      <c r="M1028" t="str">
        <f t="shared" si="50"/>
        <v>Jun-2023</v>
      </c>
      <c r="N1028" t="s">
        <v>23</v>
      </c>
    </row>
    <row r="1029" spans="1:14" x14ac:dyDescent="0.25">
      <c r="A1029" t="s">
        <v>1057</v>
      </c>
      <c r="B1029" s="1">
        <v>44975</v>
      </c>
      <c r="D1029">
        <v>20</v>
      </c>
      <c r="E1029" t="s">
        <v>21</v>
      </c>
      <c r="F1029" t="s">
        <v>38</v>
      </c>
      <c r="G1029" t="s">
        <v>14</v>
      </c>
      <c r="H1029">
        <v>22368</v>
      </c>
      <c r="I1029">
        <v>32</v>
      </c>
      <c r="J1029">
        <v>41</v>
      </c>
      <c r="K1029">
        <f t="shared" si="48"/>
        <v>0</v>
      </c>
      <c r="L1029" s="4">
        <f t="shared" ca="1" si="49"/>
        <v>38</v>
      </c>
      <c r="M1029" t="str">
        <f t="shared" si="50"/>
        <v>Feb-2023</v>
      </c>
      <c r="N1029" t="s">
        <v>23</v>
      </c>
    </row>
    <row r="1030" spans="1:14" x14ac:dyDescent="0.25">
      <c r="A1030" t="s">
        <v>1058</v>
      </c>
      <c r="B1030" s="1">
        <v>45077</v>
      </c>
      <c r="C1030" s="1">
        <v>45587</v>
      </c>
      <c r="D1030">
        <v>19</v>
      </c>
      <c r="E1030" t="s">
        <v>12</v>
      </c>
      <c r="F1030" t="s">
        <v>17</v>
      </c>
      <c r="G1030" t="s">
        <v>18</v>
      </c>
      <c r="H1030">
        <v>13583</v>
      </c>
      <c r="I1030">
        <v>17</v>
      </c>
      <c r="J1030">
        <v>75</v>
      </c>
      <c r="K1030">
        <f t="shared" si="48"/>
        <v>1</v>
      </c>
      <c r="L1030" s="4">
        <f t="shared" ca="1" si="49"/>
        <v>17</v>
      </c>
      <c r="M1030" t="str">
        <f t="shared" si="50"/>
        <v>May-2023</v>
      </c>
      <c r="N1030" t="s">
        <v>19</v>
      </c>
    </row>
    <row r="1031" spans="1:14" x14ac:dyDescent="0.25">
      <c r="A1031" t="s">
        <v>1059</v>
      </c>
      <c r="B1031" s="1">
        <v>45707</v>
      </c>
      <c r="D1031">
        <v>53</v>
      </c>
      <c r="E1031" t="s">
        <v>12</v>
      </c>
      <c r="F1031" t="s">
        <v>41</v>
      </c>
      <c r="G1031" t="s">
        <v>18</v>
      </c>
      <c r="H1031">
        <v>6392</v>
      </c>
      <c r="I1031">
        <v>8</v>
      </c>
      <c r="J1031">
        <v>34</v>
      </c>
      <c r="K1031">
        <f t="shared" si="48"/>
        <v>0</v>
      </c>
      <c r="L1031" s="4">
        <f t="shared" ca="1" si="49"/>
        <v>13</v>
      </c>
      <c r="M1031" t="str">
        <f t="shared" si="50"/>
        <v>Feb-2025</v>
      </c>
      <c r="N1031" t="s">
        <v>19</v>
      </c>
    </row>
    <row r="1032" spans="1:14" x14ac:dyDescent="0.25">
      <c r="A1032" t="s">
        <v>1060</v>
      </c>
      <c r="B1032" s="1">
        <v>45125</v>
      </c>
      <c r="D1032">
        <v>30</v>
      </c>
      <c r="E1032" t="s">
        <v>12</v>
      </c>
      <c r="F1032" t="s">
        <v>17</v>
      </c>
      <c r="G1032" t="s">
        <v>18</v>
      </c>
      <c r="H1032">
        <v>21573</v>
      </c>
      <c r="I1032">
        <v>27</v>
      </c>
      <c r="J1032">
        <v>93</v>
      </c>
      <c r="K1032">
        <f t="shared" si="48"/>
        <v>0</v>
      </c>
      <c r="L1032" s="4">
        <f t="shared" ca="1" si="49"/>
        <v>33</v>
      </c>
      <c r="M1032" t="str">
        <f t="shared" si="50"/>
        <v>Jul-2023</v>
      </c>
      <c r="N1032" t="s">
        <v>19</v>
      </c>
    </row>
    <row r="1033" spans="1:14" x14ac:dyDescent="0.25">
      <c r="A1033" t="s">
        <v>1061</v>
      </c>
      <c r="B1033" s="1">
        <v>45145</v>
      </c>
      <c r="D1033">
        <v>30</v>
      </c>
      <c r="E1033" t="s">
        <v>21</v>
      </c>
      <c r="F1033" t="s">
        <v>27</v>
      </c>
      <c r="G1033" t="s">
        <v>18</v>
      </c>
      <c r="H1033">
        <v>21573</v>
      </c>
      <c r="I1033">
        <v>27</v>
      </c>
      <c r="J1033">
        <v>83</v>
      </c>
      <c r="K1033">
        <f t="shared" si="48"/>
        <v>0</v>
      </c>
      <c r="L1033" s="4">
        <f t="shared" ca="1" si="49"/>
        <v>32</v>
      </c>
      <c r="M1033" t="str">
        <f t="shared" si="50"/>
        <v>Aug-2023</v>
      </c>
      <c r="N1033" t="s">
        <v>19</v>
      </c>
    </row>
    <row r="1034" spans="1:14" x14ac:dyDescent="0.25">
      <c r="A1034" t="s">
        <v>1062</v>
      </c>
      <c r="B1034" s="1">
        <v>45878</v>
      </c>
      <c r="D1034">
        <v>25</v>
      </c>
      <c r="E1034" t="s">
        <v>21</v>
      </c>
      <c r="F1034" t="s">
        <v>22</v>
      </c>
      <c r="G1034" t="s">
        <v>18</v>
      </c>
      <c r="H1034">
        <v>1598</v>
      </c>
      <c r="I1034">
        <v>2</v>
      </c>
      <c r="J1034">
        <v>26</v>
      </c>
      <c r="K1034">
        <f t="shared" si="48"/>
        <v>0</v>
      </c>
      <c r="L1034" s="4">
        <f t="shared" ca="1" si="49"/>
        <v>8</v>
      </c>
      <c r="M1034" t="str">
        <f t="shared" si="50"/>
        <v>Aug-2025</v>
      </c>
      <c r="N1034" t="s">
        <v>19</v>
      </c>
    </row>
    <row r="1035" spans="1:14" x14ac:dyDescent="0.25">
      <c r="A1035" t="s">
        <v>1063</v>
      </c>
      <c r="B1035" s="1">
        <v>45738</v>
      </c>
      <c r="D1035">
        <v>23</v>
      </c>
      <c r="E1035" t="s">
        <v>21</v>
      </c>
      <c r="F1035" t="s">
        <v>47</v>
      </c>
      <c r="G1035" t="s">
        <v>30</v>
      </c>
      <c r="H1035">
        <v>5243</v>
      </c>
      <c r="I1035">
        <v>7</v>
      </c>
      <c r="J1035">
        <v>46</v>
      </c>
      <c r="K1035">
        <f t="shared" si="48"/>
        <v>0</v>
      </c>
      <c r="L1035" s="4">
        <f t="shared" ca="1" si="49"/>
        <v>12</v>
      </c>
      <c r="M1035" t="str">
        <f t="shared" si="50"/>
        <v>Mar-2025</v>
      </c>
      <c r="N1035" t="s">
        <v>23</v>
      </c>
    </row>
    <row r="1036" spans="1:14" x14ac:dyDescent="0.25">
      <c r="A1036" t="s">
        <v>1064</v>
      </c>
      <c r="B1036" s="1">
        <v>45187</v>
      </c>
      <c r="C1036" s="1">
        <v>45667</v>
      </c>
      <c r="D1036">
        <v>28</v>
      </c>
      <c r="E1036" t="s">
        <v>12</v>
      </c>
      <c r="F1036" t="s">
        <v>41</v>
      </c>
      <c r="G1036" t="s">
        <v>18</v>
      </c>
      <c r="H1036">
        <v>12784</v>
      </c>
      <c r="I1036">
        <v>16</v>
      </c>
      <c r="J1036">
        <v>22</v>
      </c>
      <c r="K1036">
        <f t="shared" si="48"/>
        <v>1</v>
      </c>
      <c r="L1036" s="4">
        <f t="shared" ca="1" si="49"/>
        <v>16</v>
      </c>
      <c r="M1036" t="str">
        <f t="shared" si="50"/>
        <v>Sep-2023</v>
      </c>
      <c r="N1036" t="s">
        <v>19</v>
      </c>
    </row>
    <row r="1037" spans="1:14" x14ac:dyDescent="0.25">
      <c r="A1037" t="s">
        <v>1065</v>
      </c>
      <c r="B1037" s="1">
        <v>45344</v>
      </c>
      <c r="D1037">
        <v>50</v>
      </c>
      <c r="E1037" t="s">
        <v>21</v>
      </c>
      <c r="F1037" t="s">
        <v>38</v>
      </c>
      <c r="G1037" t="s">
        <v>30</v>
      </c>
      <c r="H1037">
        <v>14980</v>
      </c>
      <c r="I1037">
        <v>20</v>
      </c>
      <c r="J1037">
        <v>83</v>
      </c>
      <c r="K1037">
        <f t="shared" si="48"/>
        <v>0</v>
      </c>
      <c r="L1037" s="4">
        <f t="shared" ca="1" si="49"/>
        <v>26</v>
      </c>
      <c r="M1037" t="str">
        <f t="shared" si="50"/>
        <v>Feb-2024</v>
      </c>
      <c r="N1037" t="s">
        <v>23</v>
      </c>
    </row>
    <row r="1038" spans="1:14" x14ac:dyDescent="0.25">
      <c r="A1038" t="s">
        <v>1066</v>
      </c>
      <c r="B1038" s="1">
        <v>45361</v>
      </c>
      <c r="D1038">
        <v>55</v>
      </c>
      <c r="E1038" t="s">
        <v>12</v>
      </c>
      <c r="F1038" t="s">
        <v>47</v>
      </c>
      <c r="G1038" t="s">
        <v>18</v>
      </c>
      <c r="H1038">
        <v>15980</v>
      </c>
      <c r="I1038">
        <v>20</v>
      </c>
      <c r="J1038">
        <v>76</v>
      </c>
      <c r="K1038">
        <f t="shared" si="48"/>
        <v>0</v>
      </c>
      <c r="L1038" s="4">
        <f t="shared" ca="1" si="49"/>
        <v>25</v>
      </c>
      <c r="M1038" t="str">
        <f t="shared" si="50"/>
        <v>Mar-2024</v>
      </c>
      <c r="N1038" t="s">
        <v>25</v>
      </c>
    </row>
    <row r="1039" spans="1:14" x14ac:dyDescent="0.25">
      <c r="A1039" t="s">
        <v>1067</v>
      </c>
      <c r="B1039" s="1">
        <v>45782</v>
      </c>
      <c r="C1039" s="1">
        <v>45962</v>
      </c>
      <c r="D1039">
        <v>41</v>
      </c>
      <c r="E1039" t="s">
        <v>15</v>
      </c>
      <c r="F1039" t="s">
        <v>17</v>
      </c>
      <c r="G1039" t="s">
        <v>18</v>
      </c>
      <c r="H1039">
        <v>4794</v>
      </c>
      <c r="I1039">
        <v>6</v>
      </c>
      <c r="J1039">
        <v>55</v>
      </c>
      <c r="K1039">
        <f t="shared" si="48"/>
        <v>1</v>
      </c>
      <c r="L1039" s="4">
        <f t="shared" ca="1" si="49"/>
        <v>6</v>
      </c>
      <c r="M1039" t="str">
        <f t="shared" si="50"/>
        <v>May-2025</v>
      </c>
      <c r="N1039" t="s">
        <v>25</v>
      </c>
    </row>
    <row r="1040" spans="1:14" x14ac:dyDescent="0.25">
      <c r="A1040" t="s">
        <v>1068</v>
      </c>
      <c r="B1040" s="1">
        <v>45265</v>
      </c>
      <c r="D1040">
        <v>29</v>
      </c>
      <c r="E1040" t="s">
        <v>12</v>
      </c>
      <c r="F1040" t="s">
        <v>13</v>
      </c>
      <c r="G1040" t="s">
        <v>18</v>
      </c>
      <c r="H1040">
        <v>18377</v>
      </c>
      <c r="I1040">
        <v>23</v>
      </c>
      <c r="J1040">
        <v>57</v>
      </c>
      <c r="K1040">
        <f t="shared" si="48"/>
        <v>0</v>
      </c>
      <c r="L1040" s="4">
        <f t="shared" ca="1" si="49"/>
        <v>28</v>
      </c>
      <c r="M1040" t="str">
        <f t="shared" si="50"/>
        <v>Dec-2023</v>
      </c>
      <c r="N1040" t="s">
        <v>15</v>
      </c>
    </row>
    <row r="1041" spans="1:14" x14ac:dyDescent="0.25">
      <c r="A1041" t="s">
        <v>1069</v>
      </c>
      <c r="B1041" s="1">
        <v>45066</v>
      </c>
      <c r="D1041">
        <v>31</v>
      </c>
      <c r="E1041" t="s">
        <v>12</v>
      </c>
      <c r="F1041" t="s">
        <v>47</v>
      </c>
      <c r="G1041" t="s">
        <v>18</v>
      </c>
      <c r="H1041">
        <v>23171</v>
      </c>
      <c r="I1041">
        <v>29</v>
      </c>
      <c r="J1041">
        <v>85</v>
      </c>
      <c r="K1041">
        <f t="shared" si="48"/>
        <v>0</v>
      </c>
      <c r="L1041" s="4">
        <f t="shared" ca="1" si="49"/>
        <v>35</v>
      </c>
      <c r="M1041" t="str">
        <f t="shared" si="50"/>
        <v>May-2023</v>
      </c>
      <c r="N1041" t="s">
        <v>19</v>
      </c>
    </row>
    <row r="1042" spans="1:14" x14ac:dyDescent="0.25">
      <c r="A1042" t="s">
        <v>1070</v>
      </c>
      <c r="B1042" s="1">
        <v>45123</v>
      </c>
      <c r="D1042">
        <v>55</v>
      </c>
      <c r="E1042" t="s">
        <v>12</v>
      </c>
      <c r="F1042" t="s">
        <v>41</v>
      </c>
      <c r="G1042" t="s">
        <v>30</v>
      </c>
      <c r="H1042">
        <v>20223</v>
      </c>
      <c r="I1042">
        <v>27</v>
      </c>
      <c r="J1042">
        <v>62</v>
      </c>
      <c r="K1042">
        <f t="shared" si="48"/>
        <v>0</v>
      </c>
      <c r="L1042" s="4">
        <f t="shared" ca="1" si="49"/>
        <v>33</v>
      </c>
      <c r="M1042" t="str">
        <f t="shared" si="50"/>
        <v>Jul-2023</v>
      </c>
      <c r="N1042" t="s">
        <v>15</v>
      </c>
    </row>
    <row r="1043" spans="1:14" x14ac:dyDescent="0.25">
      <c r="A1043" t="s">
        <v>1071</v>
      </c>
      <c r="B1043" s="1">
        <v>45044</v>
      </c>
      <c r="D1043">
        <v>20</v>
      </c>
      <c r="E1043" t="s">
        <v>21</v>
      </c>
      <c r="F1043" t="s">
        <v>57</v>
      </c>
      <c r="G1043" t="s">
        <v>14</v>
      </c>
      <c r="H1043">
        <v>20970</v>
      </c>
      <c r="I1043">
        <v>30</v>
      </c>
      <c r="J1043">
        <v>70</v>
      </c>
      <c r="K1043">
        <f t="shared" si="48"/>
        <v>0</v>
      </c>
      <c r="L1043" s="4">
        <f t="shared" ca="1" si="49"/>
        <v>36</v>
      </c>
      <c r="M1043" t="str">
        <f t="shared" si="50"/>
        <v>Apr-2023</v>
      </c>
      <c r="N1043" t="s">
        <v>19</v>
      </c>
    </row>
    <row r="1044" spans="1:14" x14ac:dyDescent="0.25">
      <c r="A1044" t="s">
        <v>1072</v>
      </c>
      <c r="B1044" s="1">
        <v>45720</v>
      </c>
      <c r="D1044">
        <v>22</v>
      </c>
      <c r="E1044" t="s">
        <v>21</v>
      </c>
      <c r="F1044" t="s">
        <v>47</v>
      </c>
      <c r="G1044" t="s">
        <v>18</v>
      </c>
      <c r="H1044">
        <v>6392</v>
      </c>
      <c r="I1044">
        <v>8</v>
      </c>
      <c r="J1044">
        <v>64</v>
      </c>
      <c r="K1044">
        <f t="shared" si="48"/>
        <v>0</v>
      </c>
      <c r="L1044" s="4">
        <f t="shared" ca="1" si="49"/>
        <v>13</v>
      </c>
      <c r="M1044" t="str">
        <f t="shared" si="50"/>
        <v>Mar-2025</v>
      </c>
      <c r="N1044" t="s">
        <v>19</v>
      </c>
    </row>
    <row r="1045" spans="1:14" x14ac:dyDescent="0.25">
      <c r="A1045" t="s">
        <v>1073</v>
      </c>
      <c r="B1045" s="1">
        <v>45001</v>
      </c>
      <c r="D1045">
        <v>36</v>
      </c>
      <c r="E1045" t="s">
        <v>12</v>
      </c>
      <c r="F1045" t="s">
        <v>13</v>
      </c>
      <c r="G1045" t="s">
        <v>18</v>
      </c>
      <c r="H1045">
        <v>25568</v>
      </c>
      <c r="I1045">
        <v>32</v>
      </c>
      <c r="J1045">
        <v>65</v>
      </c>
      <c r="K1045">
        <f t="shared" si="48"/>
        <v>0</v>
      </c>
      <c r="L1045" s="4">
        <f t="shared" ca="1" si="49"/>
        <v>37</v>
      </c>
      <c r="M1045" t="str">
        <f t="shared" si="50"/>
        <v>Mar-2023</v>
      </c>
      <c r="N1045" t="s">
        <v>23</v>
      </c>
    </row>
    <row r="1046" spans="1:14" x14ac:dyDescent="0.25">
      <c r="A1046" t="s">
        <v>1074</v>
      </c>
      <c r="B1046" s="1">
        <v>45611</v>
      </c>
      <c r="D1046">
        <v>47</v>
      </c>
      <c r="E1046" t="s">
        <v>21</v>
      </c>
      <c r="F1046" t="s">
        <v>38</v>
      </c>
      <c r="G1046" t="s">
        <v>14</v>
      </c>
      <c r="H1046">
        <v>7689</v>
      </c>
      <c r="I1046">
        <v>11</v>
      </c>
      <c r="J1046">
        <v>48</v>
      </c>
      <c r="K1046">
        <f t="shared" si="48"/>
        <v>0</v>
      </c>
      <c r="L1046" s="4">
        <f t="shared" ca="1" si="49"/>
        <v>17</v>
      </c>
      <c r="M1046" t="str">
        <f t="shared" si="50"/>
        <v>Nov-2024</v>
      </c>
      <c r="N1046" t="s">
        <v>23</v>
      </c>
    </row>
    <row r="1047" spans="1:14" x14ac:dyDescent="0.25">
      <c r="A1047" t="s">
        <v>1075</v>
      </c>
      <c r="B1047" s="1">
        <v>45750</v>
      </c>
      <c r="C1047" s="1">
        <v>45810</v>
      </c>
      <c r="D1047">
        <v>38</v>
      </c>
      <c r="E1047" t="s">
        <v>21</v>
      </c>
      <c r="F1047" t="s">
        <v>27</v>
      </c>
      <c r="G1047" t="s">
        <v>14</v>
      </c>
      <c r="H1047">
        <v>1398</v>
      </c>
      <c r="I1047">
        <v>2</v>
      </c>
      <c r="J1047">
        <v>23</v>
      </c>
      <c r="K1047">
        <f t="shared" si="48"/>
        <v>1</v>
      </c>
      <c r="L1047" s="4">
        <f t="shared" ca="1" si="49"/>
        <v>2</v>
      </c>
      <c r="M1047" t="str">
        <f t="shared" si="50"/>
        <v>Apr-2025</v>
      </c>
      <c r="N1047" t="s">
        <v>19</v>
      </c>
    </row>
    <row r="1048" spans="1:14" x14ac:dyDescent="0.25">
      <c r="A1048" t="s">
        <v>1076</v>
      </c>
      <c r="B1048" s="1">
        <v>45649</v>
      </c>
      <c r="D1048">
        <v>43</v>
      </c>
      <c r="E1048" t="s">
        <v>21</v>
      </c>
      <c r="F1048" t="s">
        <v>22</v>
      </c>
      <c r="G1048" t="s">
        <v>18</v>
      </c>
      <c r="H1048">
        <v>7990</v>
      </c>
      <c r="I1048">
        <v>10</v>
      </c>
      <c r="J1048">
        <v>53</v>
      </c>
      <c r="K1048">
        <f t="shared" si="48"/>
        <v>0</v>
      </c>
      <c r="L1048" s="4">
        <f t="shared" ca="1" si="49"/>
        <v>15</v>
      </c>
      <c r="M1048" t="str">
        <f t="shared" si="50"/>
        <v>Dec-2024</v>
      </c>
      <c r="N1048" t="s">
        <v>19</v>
      </c>
    </row>
    <row r="1049" spans="1:14" x14ac:dyDescent="0.25">
      <c r="A1049" t="s">
        <v>1077</v>
      </c>
      <c r="B1049" s="1">
        <v>45358</v>
      </c>
      <c r="D1049">
        <v>44</v>
      </c>
      <c r="E1049" t="s">
        <v>12</v>
      </c>
      <c r="F1049" t="s">
        <v>32</v>
      </c>
      <c r="G1049" t="s">
        <v>18</v>
      </c>
      <c r="H1049">
        <v>15980</v>
      </c>
      <c r="I1049">
        <v>20</v>
      </c>
      <c r="J1049">
        <v>48</v>
      </c>
      <c r="K1049">
        <f t="shared" si="48"/>
        <v>0</v>
      </c>
      <c r="L1049" s="4">
        <f t="shared" ca="1" si="49"/>
        <v>25</v>
      </c>
      <c r="M1049" t="str">
        <f t="shared" si="50"/>
        <v>Mar-2024</v>
      </c>
      <c r="N1049" t="s">
        <v>19</v>
      </c>
    </row>
    <row r="1050" spans="1:14" x14ac:dyDescent="0.25">
      <c r="A1050" t="s">
        <v>1078</v>
      </c>
      <c r="B1050" s="1">
        <v>44883</v>
      </c>
      <c r="C1050" s="1">
        <v>44913</v>
      </c>
      <c r="D1050">
        <v>46</v>
      </c>
      <c r="E1050" t="s">
        <v>12</v>
      </c>
      <c r="F1050" t="s">
        <v>17</v>
      </c>
      <c r="G1050" t="s">
        <v>18</v>
      </c>
      <c r="H1050">
        <v>799</v>
      </c>
      <c r="I1050">
        <v>1</v>
      </c>
      <c r="J1050">
        <v>34</v>
      </c>
      <c r="K1050">
        <f t="shared" si="48"/>
        <v>1</v>
      </c>
      <c r="L1050" s="4">
        <f t="shared" ca="1" si="49"/>
        <v>1</v>
      </c>
      <c r="M1050" t="str">
        <f t="shared" si="50"/>
        <v>Nov-2022</v>
      </c>
      <c r="N1050" t="s">
        <v>23</v>
      </c>
    </row>
    <row r="1051" spans="1:14" x14ac:dyDescent="0.25">
      <c r="A1051" t="s">
        <v>1079</v>
      </c>
      <c r="B1051" s="1">
        <v>45228</v>
      </c>
      <c r="D1051">
        <v>44</v>
      </c>
      <c r="E1051" t="s">
        <v>12</v>
      </c>
      <c r="F1051" t="s">
        <v>41</v>
      </c>
      <c r="G1051" t="s">
        <v>14</v>
      </c>
      <c r="H1051">
        <v>16776</v>
      </c>
      <c r="I1051">
        <v>24</v>
      </c>
      <c r="J1051">
        <v>100</v>
      </c>
      <c r="K1051">
        <f t="shared" si="48"/>
        <v>0</v>
      </c>
      <c r="L1051" s="4">
        <f t="shared" ca="1" si="49"/>
        <v>29</v>
      </c>
      <c r="M1051" t="str">
        <f t="shared" si="50"/>
        <v>Oct-2023</v>
      </c>
      <c r="N1051" t="s">
        <v>25</v>
      </c>
    </row>
    <row r="1052" spans="1:14" x14ac:dyDescent="0.25">
      <c r="A1052" t="s">
        <v>1080</v>
      </c>
      <c r="B1052" s="1">
        <v>45461</v>
      </c>
      <c r="D1052">
        <v>57</v>
      </c>
      <c r="E1052" t="s">
        <v>12</v>
      </c>
      <c r="F1052" t="s">
        <v>27</v>
      </c>
      <c r="G1052" t="s">
        <v>18</v>
      </c>
      <c r="H1052">
        <v>12784</v>
      </c>
      <c r="I1052">
        <v>16</v>
      </c>
      <c r="J1052">
        <v>70</v>
      </c>
      <c r="K1052">
        <f t="shared" si="48"/>
        <v>0</v>
      </c>
      <c r="L1052" s="4">
        <f t="shared" ca="1" si="49"/>
        <v>22</v>
      </c>
      <c r="M1052" t="str">
        <f t="shared" si="50"/>
        <v>Jun-2024</v>
      </c>
      <c r="N1052" t="s">
        <v>23</v>
      </c>
    </row>
    <row r="1053" spans="1:14" x14ac:dyDescent="0.25">
      <c r="A1053" t="s">
        <v>1081</v>
      </c>
      <c r="B1053" s="1">
        <v>45323</v>
      </c>
      <c r="D1053">
        <v>31</v>
      </c>
      <c r="E1053" t="s">
        <v>21</v>
      </c>
      <c r="F1053" t="s">
        <v>32</v>
      </c>
      <c r="G1053" t="s">
        <v>14</v>
      </c>
      <c r="H1053">
        <v>14679</v>
      </c>
      <c r="I1053">
        <v>21</v>
      </c>
      <c r="J1053">
        <v>53</v>
      </c>
      <c r="K1053">
        <f t="shared" si="48"/>
        <v>0</v>
      </c>
      <c r="L1053" s="4">
        <f t="shared" ca="1" si="49"/>
        <v>26</v>
      </c>
      <c r="M1053" t="str">
        <f t="shared" si="50"/>
        <v>Feb-2024</v>
      </c>
      <c r="N1053" t="s">
        <v>19</v>
      </c>
    </row>
    <row r="1054" spans="1:14" x14ac:dyDescent="0.25">
      <c r="A1054" t="s">
        <v>1082</v>
      </c>
      <c r="B1054" s="1">
        <v>45474</v>
      </c>
      <c r="D1054">
        <v>28</v>
      </c>
      <c r="E1054" t="s">
        <v>12</v>
      </c>
      <c r="F1054" t="s">
        <v>29</v>
      </c>
      <c r="G1054" t="s">
        <v>30</v>
      </c>
      <c r="H1054">
        <v>11984</v>
      </c>
      <c r="I1054">
        <v>16</v>
      </c>
      <c r="J1054">
        <v>80</v>
      </c>
      <c r="K1054">
        <f t="shared" si="48"/>
        <v>0</v>
      </c>
      <c r="L1054" s="4">
        <f t="shared" ca="1" si="49"/>
        <v>21</v>
      </c>
      <c r="M1054" t="str">
        <f t="shared" si="50"/>
        <v>Jul-2024</v>
      </c>
      <c r="N1054" t="s">
        <v>23</v>
      </c>
    </row>
    <row r="1055" spans="1:14" x14ac:dyDescent="0.25">
      <c r="A1055" t="s">
        <v>1083</v>
      </c>
      <c r="B1055" s="1">
        <v>45857</v>
      </c>
      <c r="D1055">
        <v>27</v>
      </c>
      <c r="E1055" t="s">
        <v>21</v>
      </c>
      <c r="F1055" t="s">
        <v>57</v>
      </c>
      <c r="G1055" t="s">
        <v>30</v>
      </c>
      <c r="H1055">
        <v>2247</v>
      </c>
      <c r="I1055">
        <v>3</v>
      </c>
      <c r="J1055">
        <v>49</v>
      </c>
      <c r="K1055">
        <f t="shared" si="48"/>
        <v>0</v>
      </c>
      <c r="L1055" s="4">
        <f t="shared" ca="1" si="49"/>
        <v>8</v>
      </c>
      <c r="M1055" t="str">
        <f t="shared" si="50"/>
        <v>Jul-2025</v>
      </c>
      <c r="N1055" t="s">
        <v>19</v>
      </c>
    </row>
    <row r="1056" spans="1:14" x14ac:dyDescent="0.25">
      <c r="A1056" t="s">
        <v>1084</v>
      </c>
      <c r="B1056" s="1">
        <v>44932</v>
      </c>
      <c r="D1056">
        <v>28</v>
      </c>
      <c r="E1056" t="s">
        <v>12</v>
      </c>
      <c r="F1056" t="s">
        <v>47</v>
      </c>
      <c r="G1056" t="s">
        <v>18</v>
      </c>
      <c r="H1056">
        <v>27166</v>
      </c>
      <c r="I1056">
        <v>34</v>
      </c>
      <c r="J1056">
        <v>70</v>
      </c>
      <c r="K1056">
        <f t="shared" si="48"/>
        <v>0</v>
      </c>
      <c r="L1056" s="4">
        <f t="shared" ca="1" si="49"/>
        <v>39</v>
      </c>
      <c r="M1056" t="str">
        <f t="shared" si="50"/>
        <v>Jan-2023</v>
      </c>
      <c r="N1056" t="s">
        <v>19</v>
      </c>
    </row>
    <row r="1057" spans="1:14" x14ac:dyDescent="0.25">
      <c r="A1057" t="s">
        <v>1085</v>
      </c>
      <c r="B1057" s="1">
        <v>45405</v>
      </c>
      <c r="D1057">
        <v>55</v>
      </c>
      <c r="E1057" t="s">
        <v>12</v>
      </c>
      <c r="F1057" t="s">
        <v>41</v>
      </c>
      <c r="G1057" t="s">
        <v>14</v>
      </c>
      <c r="H1057">
        <v>12582</v>
      </c>
      <c r="I1057">
        <v>18</v>
      </c>
      <c r="J1057">
        <v>90</v>
      </c>
      <c r="K1057">
        <f t="shared" si="48"/>
        <v>0</v>
      </c>
      <c r="L1057" s="4">
        <f t="shared" ca="1" si="49"/>
        <v>24</v>
      </c>
      <c r="M1057" t="str">
        <f t="shared" si="50"/>
        <v>Apr-2024</v>
      </c>
      <c r="N1057" t="s">
        <v>19</v>
      </c>
    </row>
    <row r="1058" spans="1:14" x14ac:dyDescent="0.25">
      <c r="A1058" t="s">
        <v>1086</v>
      </c>
      <c r="B1058" s="1">
        <v>45601</v>
      </c>
      <c r="D1058">
        <v>48</v>
      </c>
      <c r="E1058" t="s">
        <v>12</v>
      </c>
      <c r="F1058" t="s">
        <v>41</v>
      </c>
      <c r="G1058" t="s">
        <v>18</v>
      </c>
      <c r="H1058">
        <v>9588</v>
      </c>
      <c r="I1058">
        <v>12</v>
      </c>
      <c r="J1058">
        <v>58</v>
      </c>
      <c r="K1058">
        <f t="shared" si="48"/>
        <v>0</v>
      </c>
      <c r="L1058" s="4">
        <f t="shared" ca="1" si="49"/>
        <v>17</v>
      </c>
      <c r="M1058" t="str">
        <f t="shared" si="50"/>
        <v>Nov-2024</v>
      </c>
      <c r="N1058" t="s">
        <v>19</v>
      </c>
    </row>
    <row r="1059" spans="1:14" x14ac:dyDescent="0.25">
      <c r="A1059" t="s">
        <v>1087</v>
      </c>
      <c r="B1059" s="1">
        <v>45034</v>
      </c>
      <c r="C1059" s="1">
        <v>45244</v>
      </c>
      <c r="D1059">
        <v>46</v>
      </c>
      <c r="E1059" t="s">
        <v>21</v>
      </c>
      <c r="F1059" t="s">
        <v>22</v>
      </c>
      <c r="G1059" t="s">
        <v>18</v>
      </c>
      <c r="H1059">
        <v>5593</v>
      </c>
      <c r="I1059">
        <v>7</v>
      </c>
      <c r="J1059">
        <v>86</v>
      </c>
      <c r="K1059">
        <f t="shared" si="48"/>
        <v>1</v>
      </c>
      <c r="L1059" s="4">
        <f t="shared" ca="1" si="49"/>
        <v>7</v>
      </c>
      <c r="M1059" t="str">
        <f t="shared" si="50"/>
        <v>Apr-2023</v>
      </c>
      <c r="N1059" t="s">
        <v>19</v>
      </c>
    </row>
    <row r="1060" spans="1:14" x14ac:dyDescent="0.25">
      <c r="A1060" t="s">
        <v>1088</v>
      </c>
      <c r="B1060" s="1">
        <v>45037</v>
      </c>
      <c r="C1060" s="1">
        <v>45517</v>
      </c>
      <c r="D1060">
        <v>18</v>
      </c>
      <c r="E1060" t="s">
        <v>21</v>
      </c>
      <c r="F1060" t="s">
        <v>41</v>
      </c>
      <c r="G1060" t="s">
        <v>18</v>
      </c>
      <c r="H1060">
        <v>12784</v>
      </c>
      <c r="I1060">
        <v>16</v>
      </c>
      <c r="J1060">
        <v>38</v>
      </c>
      <c r="K1060">
        <f t="shared" si="48"/>
        <v>1</v>
      </c>
      <c r="L1060" s="4">
        <f t="shared" ca="1" si="49"/>
        <v>16</v>
      </c>
      <c r="M1060" t="str">
        <f t="shared" si="50"/>
        <v>Apr-2023</v>
      </c>
      <c r="N1060" t="s">
        <v>23</v>
      </c>
    </row>
    <row r="1061" spans="1:14" x14ac:dyDescent="0.25">
      <c r="A1061" t="s">
        <v>1089</v>
      </c>
      <c r="B1061" s="1">
        <v>45679</v>
      </c>
      <c r="D1061">
        <v>19</v>
      </c>
      <c r="E1061" t="s">
        <v>21</v>
      </c>
      <c r="F1061" t="s">
        <v>22</v>
      </c>
      <c r="G1061" t="s">
        <v>18</v>
      </c>
      <c r="H1061">
        <v>7191</v>
      </c>
      <c r="I1061">
        <v>9</v>
      </c>
      <c r="J1061">
        <v>64</v>
      </c>
      <c r="K1061">
        <f t="shared" si="48"/>
        <v>0</v>
      </c>
      <c r="L1061" s="4">
        <f t="shared" ca="1" si="49"/>
        <v>14</v>
      </c>
      <c r="M1061" t="str">
        <f t="shared" si="50"/>
        <v>Jan-2025</v>
      </c>
      <c r="N1061" t="s">
        <v>15</v>
      </c>
    </row>
    <row r="1062" spans="1:14" x14ac:dyDescent="0.25">
      <c r="A1062" t="s">
        <v>1090</v>
      </c>
      <c r="B1062" s="1">
        <v>45447</v>
      </c>
      <c r="D1062">
        <v>55</v>
      </c>
      <c r="E1062" t="s">
        <v>12</v>
      </c>
      <c r="F1062" t="s">
        <v>57</v>
      </c>
      <c r="G1062" t="s">
        <v>18</v>
      </c>
      <c r="H1062">
        <v>13583</v>
      </c>
      <c r="I1062">
        <v>17</v>
      </c>
      <c r="J1062">
        <v>67</v>
      </c>
      <c r="K1062">
        <f t="shared" si="48"/>
        <v>0</v>
      </c>
      <c r="L1062" s="4">
        <f t="shared" ca="1" si="49"/>
        <v>22</v>
      </c>
      <c r="M1062" t="str">
        <f t="shared" si="50"/>
        <v>Jun-2024</v>
      </c>
      <c r="N1062" t="s">
        <v>25</v>
      </c>
    </row>
    <row r="1063" spans="1:14" x14ac:dyDescent="0.25">
      <c r="A1063" t="s">
        <v>1091</v>
      </c>
      <c r="B1063" s="1">
        <v>45489</v>
      </c>
      <c r="D1063">
        <v>45</v>
      </c>
      <c r="E1063" t="s">
        <v>12</v>
      </c>
      <c r="F1063" t="s">
        <v>57</v>
      </c>
      <c r="G1063" t="s">
        <v>18</v>
      </c>
      <c r="H1063">
        <v>11985</v>
      </c>
      <c r="I1063">
        <v>15</v>
      </c>
      <c r="J1063">
        <v>18</v>
      </c>
      <c r="K1063">
        <f t="shared" si="48"/>
        <v>0</v>
      </c>
      <c r="L1063" s="4">
        <f t="shared" ca="1" si="49"/>
        <v>21</v>
      </c>
      <c r="M1063" t="str">
        <f t="shared" si="50"/>
        <v>Jul-2024</v>
      </c>
      <c r="N1063" t="s">
        <v>23</v>
      </c>
    </row>
    <row r="1064" spans="1:14" x14ac:dyDescent="0.25">
      <c r="A1064" t="s">
        <v>1092</v>
      </c>
      <c r="B1064" s="1">
        <v>45142</v>
      </c>
      <c r="D1064">
        <v>35</v>
      </c>
      <c r="E1064" t="s">
        <v>12</v>
      </c>
      <c r="F1064" t="s">
        <v>47</v>
      </c>
      <c r="G1064" t="s">
        <v>30</v>
      </c>
      <c r="H1064">
        <v>20223</v>
      </c>
      <c r="I1064">
        <v>27</v>
      </c>
      <c r="J1064">
        <v>45</v>
      </c>
      <c r="K1064">
        <f t="shared" si="48"/>
        <v>0</v>
      </c>
      <c r="L1064" s="4">
        <f t="shared" ca="1" si="49"/>
        <v>32</v>
      </c>
      <c r="M1064" t="str">
        <f t="shared" si="50"/>
        <v>Aug-2023</v>
      </c>
      <c r="N1064" t="s">
        <v>15</v>
      </c>
    </row>
    <row r="1065" spans="1:14" x14ac:dyDescent="0.25">
      <c r="A1065" t="s">
        <v>1093</v>
      </c>
      <c r="B1065" s="1">
        <v>45427</v>
      </c>
      <c r="D1065">
        <v>45</v>
      </c>
      <c r="E1065" t="s">
        <v>21</v>
      </c>
      <c r="F1065" t="s">
        <v>17</v>
      </c>
      <c r="G1065" t="s">
        <v>18</v>
      </c>
      <c r="H1065">
        <v>13583</v>
      </c>
      <c r="I1065">
        <v>17</v>
      </c>
      <c r="J1065">
        <v>83</v>
      </c>
      <c r="K1065">
        <f t="shared" si="48"/>
        <v>0</v>
      </c>
      <c r="L1065" s="4">
        <f t="shared" ca="1" si="49"/>
        <v>23</v>
      </c>
      <c r="M1065" t="str">
        <f t="shared" si="50"/>
        <v>May-2024</v>
      </c>
      <c r="N1065" t="s">
        <v>19</v>
      </c>
    </row>
    <row r="1066" spans="1:14" x14ac:dyDescent="0.25">
      <c r="A1066" t="s">
        <v>1094</v>
      </c>
      <c r="B1066" s="1">
        <v>45583</v>
      </c>
      <c r="D1066">
        <v>43</v>
      </c>
      <c r="E1066" t="s">
        <v>12</v>
      </c>
      <c r="F1066" t="s">
        <v>17</v>
      </c>
      <c r="G1066" t="s">
        <v>14</v>
      </c>
      <c r="H1066">
        <v>8388</v>
      </c>
      <c r="I1066">
        <v>12</v>
      </c>
      <c r="J1066">
        <v>49</v>
      </c>
      <c r="K1066">
        <f t="shared" si="48"/>
        <v>0</v>
      </c>
      <c r="L1066" s="4">
        <f t="shared" ca="1" si="49"/>
        <v>18</v>
      </c>
      <c r="M1066" t="str">
        <f t="shared" si="50"/>
        <v>Oct-2024</v>
      </c>
      <c r="N1066" t="s">
        <v>19</v>
      </c>
    </row>
    <row r="1067" spans="1:14" x14ac:dyDescent="0.25">
      <c r="A1067" t="s">
        <v>1095</v>
      </c>
      <c r="B1067" s="1">
        <v>45497</v>
      </c>
      <c r="D1067">
        <v>37</v>
      </c>
      <c r="E1067" t="s">
        <v>21</v>
      </c>
      <c r="F1067" t="s">
        <v>27</v>
      </c>
      <c r="G1067" t="s">
        <v>18</v>
      </c>
      <c r="H1067">
        <v>11985</v>
      </c>
      <c r="I1067">
        <v>15</v>
      </c>
      <c r="J1067">
        <v>55</v>
      </c>
      <c r="K1067">
        <f t="shared" si="48"/>
        <v>0</v>
      </c>
      <c r="L1067" s="4">
        <f t="shared" ca="1" si="49"/>
        <v>20</v>
      </c>
      <c r="M1067" t="str">
        <f t="shared" si="50"/>
        <v>Jul-2024</v>
      </c>
      <c r="N1067" t="s">
        <v>19</v>
      </c>
    </row>
    <row r="1068" spans="1:14" x14ac:dyDescent="0.25">
      <c r="A1068" t="s">
        <v>1096</v>
      </c>
      <c r="B1068" s="1">
        <v>45460</v>
      </c>
      <c r="D1068">
        <v>46</v>
      </c>
      <c r="E1068" t="s">
        <v>21</v>
      </c>
      <c r="F1068" t="s">
        <v>27</v>
      </c>
      <c r="G1068" t="s">
        <v>18</v>
      </c>
      <c r="H1068">
        <v>12784</v>
      </c>
      <c r="I1068">
        <v>16</v>
      </c>
      <c r="J1068">
        <v>76</v>
      </c>
      <c r="K1068">
        <f t="shared" si="48"/>
        <v>0</v>
      </c>
      <c r="L1068" s="4">
        <f t="shared" ca="1" si="49"/>
        <v>22</v>
      </c>
      <c r="M1068" t="str">
        <f t="shared" si="50"/>
        <v>Jun-2024</v>
      </c>
      <c r="N1068" t="s">
        <v>19</v>
      </c>
    </row>
    <row r="1069" spans="1:14" x14ac:dyDescent="0.25">
      <c r="A1069" t="s">
        <v>1097</v>
      </c>
      <c r="B1069" s="1">
        <v>44954</v>
      </c>
      <c r="D1069">
        <v>55</v>
      </c>
      <c r="E1069" t="s">
        <v>12</v>
      </c>
      <c r="F1069" t="s">
        <v>57</v>
      </c>
      <c r="G1069" t="s">
        <v>14</v>
      </c>
      <c r="H1069">
        <v>23067</v>
      </c>
      <c r="I1069">
        <v>33</v>
      </c>
      <c r="J1069">
        <v>57</v>
      </c>
      <c r="K1069">
        <f t="shared" si="48"/>
        <v>0</v>
      </c>
      <c r="L1069" s="4">
        <f t="shared" ca="1" si="49"/>
        <v>39</v>
      </c>
      <c r="M1069" t="str">
        <f t="shared" si="50"/>
        <v>Jan-2023</v>
      </c>
      <c r="N1069" t="s">
        <v>23</v>
      </c>
    </row>
    <row r="1070" spans="1:14" x14ac:dyDescent="0.25">
      <c r="A1070" t="s">
        <v>1098</v>
      </c>
      <c r="B1070" s="1">
        <v>45150</v>
      </c>
      <c r="D1070">
        <v>22</v>
      </c>
      <c r="E1070" t="s">
        <v>21</v>
      </c>
      <c r="F1070" t="s">
        <v>17</v>
      </c>
      <c r="G1070" t="s">
        <v>18</v>
      </c>
      <c r="H1070">
        <v>21573</v>
      </c>
      <c r="I1070">
        <v>27</v>
      </c>
      <c r="J1070">
        <v>38</v>
      </c>
      <c r="K1070">
        <f t="shared" si="48"/>
        <v>0</v>
      </c>
      <c r="L1070" s="4">
        <f t="shared" ca="1" si="49"/>
        <v>32</v>
      </c>
      <c r="M1070" t="str">
        <f t="shared" si="50"/>
        <v>Aug-2023</v>
      </c>
      <c r="N1070" t="s">
        <v>23</v>
      </c>
    </row>
    <row r="1071" spans="1:14" x14ac:dyDescent="0.25">
      <c r="A1071" t="s">
        <v>1099</v>
      </c>
      <c r="B1071" s="1">
        <v>45303</v>
      </c>
      <c r="D1071">
        <v>23</v>
      </c>
      <c r="E1071" t="s">
        <v>12</v>
      </c>
      <c r="F1071" t="s">
        <v>32</v>
      </c>
      <c r="G1071" t="s">
        <v>30</v>
      </c>
      <c r="H1071">
        <v>15729</v>
      </c>
      <c r="I1071">
        <v>21</v>
      </c>
      <c r="J1071">
        <v>65</v>
      </c>
      <c r="K1071">
        <f t="shared" si="48"/>
        <v>0</v>
      </c>
      <c r="L1071" s="4">
        <f t="shared" ca="1" si="49"/>
        <v>27</v>
      </c>
      <c r="M1071" t="str">
        <f t="shared" si="50"/>
        <v>Jan-2024</v>
      </c>
      <c r="N1071" t="s">
        <v>19</v>
      </c>
    </row>
    <row r="1072" spans="1:14" x14ac:dyDescent="0.25">
      <c r="A1072" t="s">
        <v>1100</v>
      </c>
      <c r="B1072" s="1">
        <v>45797</v>
      </c>
      <c r="D1072">
        <v>29</v>
      </c>
      <c r="E1072" t="s">
        <v>12</v>
      </c>
      <c r="F1072" t="s">
        <v>22</v>
      </c>
      <c r="G1072" t="s">
        <v>18</v>
      </c>
      <c r="H1072">
        <v>3995</v>
      </c>
      <c r="I1072">
        <v>5</v>
      </c>
      <c r="J1072">
        <v>26</v>
      </c>
      <c r="K1072">
        <f t="shared" si="48"/>
        <v>0</v>
      </c>
      <c r="L1072" s="4">
        <f t="shared" ca="1" si="49"/>
        <v>10</v>
      </c>
      <c r="M1072" t="str">
        <f t="shared" si="50"/>
        <v>May-2025</v>
      </c>
      <c r="N1072" t="s">
        <v>25</v>
      </c>
    </row>
    <row r="1073" spans="1:14" x14ac:dyDescent="0.25">
      <c r="A1073" t="s">
        <v>1101</v>
      </c>
      <c r="B1073" s="1">
        <v>45139</v>
      </c>
      <c r="D1073">
        <v>40</v>
      </c>
      <c r="E1073" t="s">
        <v>21</v>
      </c>
      <c r="F1073" t="s">
        <v>13</v>
      </c>
      <c r="G1073" t="s">
        <v>14</v>
      </c>
      <c r="H1073">
        <v>18873</v>
      </c>
      <c r="I1073">
        <v>27</v>
      </c>
      <c r="J1073">
        <v>66</v>
      </c>
      <c r="K1073">
        <f t="shared" si="48"/>
        <v>0</v>
      </c>
      <c r="L1073" s="4">
        <f t="shared" ca="1" si="49"/>
        <v>32</v>
      </c>
      <c r="M1073" t="str">
        <f t="shared" si="50"/>
        <v>Aug-2023</v>
      </c>
      <c r="N1073" t="s">
        <v>23</v>
      </c>
    </row>
    <row r="1074" spans="1:14" x14ac:dyDescent="0.25">
      <c r="A1074" t="s">
        <v>1102</v>
      </c>
      <c r="B1074" s="1">
        <v>45324</v>
      </c>
      <c r="D1074">
        <v>56</v>
      </c>
      <c r="E1074" t="s">
        <v>21</v>
      </c>
      <c r="F1074" t="s">
        <v>29</v>
      </c>
      <c r="G1074" t="s">
        <v>14</v>
      </c>
      <c r="H1074">
        <v>14679</v>
      </c>
      <c r="I1074">
        <v>21</v>
      </c>
      <c r="J1074">
        <v>21</v>
      </c>
      <c r="K1074">
        <f t="shared" si="48"/>
        <v>0</v>
      </c>
      <c r="L1074" s="4">
        <f t="shared" ca="1" si="49"/>
        <v>26</v>
      </c>
      <c r="M1074" t="str">
        <f t="shared" si="50"/>
        <v>Feb-2024</v>
      </c>
      <c r="N1074" t="s">
        <v>19</v>
      </c>
    </row>
    <row r="1075" spans="1:14" x14ac:dyDescent="0.25">
      <c r="A1075" t="s">
        <v>1103</v>
      </c>
      <c r="B1075" s="1">
        <v>44924</v>
      </c>
      <c r="D1075">
        <v>51</v>
      </c>
      <c r="E1075" t="s">
        <v>21</v>
      </c>
      <c r="F1075" t="s">
        <v>32</v>
      </c>
      <c r="G1075" t="s">
        <v>18</v>
      </c>
      <c r="H1075">
        <v>27166</v>
      </c>
      <c r="I1075">
        <v>34</v>
      </c>
      <c r="J1075">
        <v>60</v>
      </c>
      <c r="K1075">
        <f t="shared" si="48"/>
        <v>0</v>
      </c>
      <c r="L1075" s="4">
        <f t="shared" ca="1" si="49"/>
        <v>40</v>
      </c>
      <c r="M1075" t="str">
        <f t="shared" si="50"/>
        <v>Dec-2022</v>
      </c>
      <c r="N1075" t="s">
        <v>23</v>
      </c>
    </row>
    <row r="1076" spans="1:14" x14ac:dyDescent="0.25">
      <c r="A1076" t="s">
        <v>1104</v>
      </c>
      <c r="B1076" s="1">
        <v>45324</v>
      </c>
      <c r="D1076">
        <v>18</v>
      </c>
      <c r="E1076" t="s">
        <v>21</v>
      </c>
      <c r="F1076" t="s">
        <v>29</v>
      </c>
      <c r="G1076" t="s">
        <v>18</v>
      </c>
      <c r="H1076">
        <v>16779</v>
      </c>
      <c r="I1076">
        <v>21</v>
      </c>
      <c r="J1076">
        <v>68</v>
      </c>
      <c r="K1076">
        <f t="shared" si="48"/>
        <v>0</v>
      </c>
      <c r="L1076" s="4">
        <f t="shared" ca="1" si="49"/>
        <v>26</v>
      </c>
      <c r="M1076" t="str">
        <f t="shared" si="50"/>
        <v>Feb-2024</v>
      </c>
      <c r="N1076" t="s">
        <v>19</v>
      </c>
    </row>
    <row r="1077" spans="1:14" x14ac:dyDescent="0.25">
      <c r="A1077" t="s">
        <v>1105</v>
      </c>
      <c r="B1077" s="1">
        <v>44905</v>
      </c>
      <c r="D1077">
        <v>58</v>
      </c>
      <c r="E1077" t="s">
        <v>12</v>
      </c>
      <c r="F1077" t="s">
        <v>13</v>
      </c>
      <c r="G1077" t="s">
        <v>30</v>
      </c>
      <c r="H1077">
        <v>26215</v>
      </c>
      <c r="I1077">
        <v>35</v>
      </c>
      <c r="J1077">
        <v>58</v>
      </c>
      <c r="K1077">
        <f t="shared" si="48"/>
        <v>0</v>
      </c>
      <c r="L1077" s="4">
        <f t="shared" ca="1" si="49"/>
        <v>40</v>
      </c>
      <c r="M1077" t="str">
        <f t="shared" si="50"/>
        <v>Dec-2022</v>
      </c>
      <c r="N1077" t="s">
        <v>23</v>
      </c>
    </row>
    <row r="1078" spans="1:14" x14ac:dyDescent="0.25">
      <c r="A1078" t="s">
        <v>1106</v>
      </c>
      <c r="B1078" s="1">
        <v>45612</v>
      </c>
      <c r="C1078" s="1">
        <v>45912</v>
      </c>
      <c r="D1078">
        <v>22</v>
      </c>
      <c r="E1078" t="s">
        <v>21</v>
      </c>
      <c r="F1078" t="s">
        <v>32</v>
      </c>
      <c r="G1078" t="s">
        <v>18</v>
      </c>
      <c r="H1078">
        <v>7990</v>
      </c>
      <c r="I1078">
        <v>10</v>
      </c>
      <c r="J1078">
        <v>28</v>
      </c>
      <c r="K1078">
        <f t="shared" si="48"/>
        <v>1</v>
      </c>
      <c r="L1078" s="4">
        <f t="shared" ca="1" si="49"/>
        <v>10</v>
      </c>
      <c r="M1078" t="str">
        <f t="shared" si="50"/>
        <v>Nov-2024</v>
      </c>
      <c r="N1078" t="s">
        <v>19</v>
      </c>
    </row>
    <row r="1079" spans="1:14" x14ac:dyDescent="0.25">
      <c r="A1079" t="s">
        <v>1107</v>
      </c>
      <c r="B1079" s="1">
        <v>45739</v>
      </c>
      <c r="D1079">
        <v>43</v>
      </c>
      <c r="E1079" t="s">
        <v>21</v>
      </c>
      <c r="F1079" t="s">
        <v>41</v>
      </c>
      <c r="G1079" t="s">
        <v>30</v>
      </c>
      <c r="H1079">
        <v>5243</v>
      </c>
      <c r="I1079">
        <v>7</v>
      </c>
      <c r="J1079">
        <v>33</v>
      </c>
      <c r="K1079">
        <f t="shared" si="48"/>
        <v>0</v>
      </c>
      <c r="L1079" s="4">
        <f t="shared" ca="1" si="49"/>
        <v>12</v>
      </c>
      <c r="M1079" t="str">
        <f t="shared" si="50"/>
        <v>Mar-2025</v>
      </c>
      <c r="N1079" t="s">
        <v>19</v>
      </c>
    </row>
    <row r="1080" spans="1:14" x14ac:dyDescent="0.25">
      <c r="A1080" t="s">
        <v>1108</v>
      </c>
      <c r="B1080" s="1">
        <v>45932</v>
      </c>
      <c r="C1080" s="1">
        <v>45962</v>
      </c>
      <c r="D1080">
        <v>19</v>
      </c>
      <c r="E1080" t="s">
        <v>12</v>
      </c>
      <c r="F1080" t="s">
        <v>27</v>
      </c>
      <c r="G1080" t="s">
        <v>30</v>
      </c>
      <c r="H1080">
        <v>749</v>
      </c>
      <c r="I1080">
        <v>1</v>
      </c>
      <c r="J1080">
        <v>65</v>
      </c>
      <c r="K1080">
        <f t="shared" si="48"/>
        <v>1</v>
      </c>
      <c r="L1080" s="4">
        <f t="shared" ca="1" si="49"/>
        <v>1</v>
      </c>
      <c r="M1080" t="str">
        <f t="shared" si="50"/>
        <v>Oct-2025</v>
      </c>
      <c r="N1080" t="s">
        <v>23</v>
      </c>
    </row>
    <row r="1081" spans="1:14" x14ac:dyDescent="0.25">
      <c r="A1081" t="s">
        <v>1109</v>
      </c>
      <c r="B1081" s="1">
        <v>45087</v>
      </c>
      <c r="D1081">
        <v>34</v>
      </c>
      <c r="E1081" t="s">
        <v>21</v>
      </c>
      <c r="F1081" t="s">
        <v>32</v>
      </c>
      <c r="G1081" t="s">
        <v>30</v>
      </c>
      <c r="H1081">
        <v>21721</v>
      </c>
      <c r="I1081">
        <v>29</v>
      </c>
      <c r="J1081">
        <v>91</v>
      </c>
      <c r="K1081">
        <f t="shared" si="48"/>
        <v>0</v>
      </c>
      <c r="L1081" s="4">
        <f t="shared" ca="1" si="49"/>
        <v>34</v>
      </c>
      <c r="M1081" t="str">
        <f t="shared" si="50"/>
        <v>Jun-2023</v>
      </c>
      <c r="N1081" t="s">
        <v>19</v>
      </c>
    </row>
    <row r="1082" spans="1:14" x14ac:dyDescent="0.25">
      <c r="A1082" t="s">
        <v>1110</v>
      </c>
      <c r="B1082" s="1">
        <v>45584</v>
      </c>
      <c r="C1082" s="1">
        <v>45674</v>
      </c>
      <c r="D1082">
        <v>26</v>
      </c>
      <c r="E1082" t="s">
        <v>12</v>
      </c>
      <c r="F1082" t="s">
        <v>32</v>
      </c>
      <c r="G1082" t="s">
        <v>18</v>
      </c>
      <c r="H1082">
        <v>2397</v>
      </c>
      <c r="I1082">
        <v>3</v>
      </c>
      <c r="J1082">
        <v>60</v>
      </c>
      <c r="K1082">
        <f t="shared" si="48"/>
        <v>1</v>
      </c>
      <c r="L1082" s="4">
        <f t="shared" ca="1" si="49"/>
        <v>3</v>
      </c>
      <c r="M1082" t="str">
        <f t="shared" si="50"/>
        <v>Oct-2024</v>
      </c>
      <c r="N1082" t="s">
        <v>19</v>
      </c>
    </row>
    <row r="1083" spans="1:14" x14ac:dyDescent="0.25">
      <c r="A1083" t="s">
        <v>1111</v>
      </c>
      <c r="B1083" s="1">
        <v>45021</v>
      </c>
      <c r="D1083">
        <v>37</v>
      </c>
      <c r="E1083" t="s">
        <v>21</v>
      </c>
      <c r="F1083" t="s">
        <v>22</v>
      </c>
      <c r="G1083" t="s">
        <v>18</v>
      </c>
      <c r="H1083">
        <v>24769</v>
      </c>
      <c r="I1083">
        <v>31</v>
      </c>
      <c r="J1083">
        <v>53</v>
      </c>
      <c r="K1083">
        <f t="shared" si="48"/>
        <v>0</v>
      </c>
      <c r="L1083" s="4">
        <f t="shared" ca="1" si="49"/>
        <v>36</v>
      </c>
      <c r="M1083" t="str">
        <f t="shared" si="50"/>
        <v>Apr-2023</v>
      </c>
      <c r="N1083" t="s">
        <v>19</v>
      </c>
    </row>
    <row r="1084" spans="1:14" x14ac:dyDescent="0.25">
      <c r="A1084" t="s">
        <v>1112</v>
      </c>
      <c r="B1084" s="1">
        <v>45830</v>
      </c>
      <c r="D1084">
        <v>35</v>
      </c>
      <c r="E1084" t="s">
        <v>21</v>
      </c>
      <c r="F1084" t="s">
        <v>47</v>
      </c>
      <c r="G1084" t="s">
        <v>30</v>
      </c>
      <c r="H1084">
        <v>2996</v>
      </c>
      <c r="I1084">
        <v>4</v>
      </c>
      <c r="J1084">
        <v>59</v>
      </c>
      <c r="K1084">
        <f t="shared" si="48"/>
        <v>0</v>
      </c>
      <c r="L1084" s="4">
        <f t="shared" ca="1" si="49"/>
        <v>9</v>
      </c>
      <c r="M1084" t="str">
        <f t="shared" si="50"/>
        <v>Jun-2025</v>
      </c>
      <c r="N1084" t="s">
        <v>19</v>
      </c>
    </row>
    <row r="1085" spans="1:14" x14ac:dyDescent="0.25">
      <c r="A1085" t="s">
        <v>1113</v>
      </c>
      <c r="B1085" s="1">
        <v>45287</v>
      </c>
      <c r="C1085" s="1">
        <v>45497</v>
      </c>
      <c r="D1085">
        <v>23</v>
      </c>
      <c r="E1085" t="s">
        <v>21</v>
      </c>
      <c r="F1085" t="s">
        <v>13</v>
      </c>
      <c r="G1085" t="s">
        <v>30</v>
      </c>
      <c r="H1085">
        <v>5243</v>
      </c>
      <c r="I1085">
        <v>7</v>
      </c>
      <c r="J1085">
        <v>62</v>
      </c>
      <c r="K1085">
        <f t="shared" si="48"/>
        <v>1</v>
      </c>
      <c r="L1085" s="4">
        <f t="shared" ca="1" si="49"/>
        <v>7</v>
      </c>
      <c r="M1085" t="str">
        <f t="shared" si="50"/>
        <v>Dec-2023</v>
      </c>
      <c r="N1085" t="s">
        <v>19</v>
      </c>
    </row>
    <row r="1086" spans="1:14" x14ac:dyDescent="0.25">
      <c r="A1086" t="s">
        <v>1114</v>
      </c>
      <c r="B1086" s="1">
        <v>44868</v>
      </c>
      <c r="C1086" s="1">
        <v>45228</v>
      </c>
      <c r="D1086">
        <v>34</v>
      </c>
      <c r="E1086" t="s">
        <v>21</v>
      </c>
      <c r="F1086" t="s">
        <v>13</v>
      </c>
      <c r="G1086" t="s">
        <v>30</v>
      </c>
      <c r="H1086">
        <v>8988</v>
      </c>
      <c r="I1086">
        <v>12</v>
      </c>
      <c r="J1086">
        <v>93</v>
      </c>
      <c r="K1086">
        <f t="shared" si="48"/>
        <v>1</v>
      </c>
      <c r="L1086" s="4">
        <f t="shared" ca="1" si="49"/>
        <v>12</v>
      </c>
      <c r="M1086" t="str">
        <f t="shared" si="50"/>
        <v>Nov-2022</v>
      </c>
      <c r="N1086" t="s">
        <v>25</v>
      </c>
    </row>
    <row r="1087" spans="1:14" x14ac:dyDescent="0.25">
      <c r="A1087" t="s">
        <v>1115</v>
      </c>
      <c r="B1087" s="1">
        <v>44963</v>
      </c>
      <c r="D1087">
        <v>34</v>
      </c>
      <c r="E1087" t="s">
        <v>12</v>
      </c>
      <c r="F1087" t="s">
        <v>22</v>
      </c>
      <c r="G1087" t="s">
        <v>30</v>
      </c>
      <c r="H1087">
        <v>24717</v>
      </c>
      <c r="I1087">
        <v>33</v>
      </c>
      <c r="J1087">
        <v>70</v>
      </c>
      <c r="K1087">
        <f t="shared" si="48"/>
        <v>0</v>
      </c>
      <c r="L1087" s="4">
        <f t="shared" ca="1" si="49"/>
        <v>38</v>
      </c>
      <c r="M1087" t="str">
        <f t="shared" si="50"/>
        <v>Feb-2023</v>
      </c>
      <c r="N1087" t="s">
        <v>25</v>
      </c>
    </row>
    <row r="1088" spans="1:14" x14ac:dyDescent="0.25">
      <c r="A1088" t="s">
        <v>1116</v>
      </c>
      <c r="B1088" s="1">
        <v>45519</v>
      </c>
      <c r="D1088">
        <v>48</v>
      </c>
      <c r="E1088" t="s">
        <v>12</v>
      </c>
      <c r="F1088" t="s">
        <v>47</v>
      </c>
      <c r="G1088" t="s">
        <v>18</v>
      </c>
      <c r="H1088">
        <v>11186</v>
      </c>
      <c r="I1088">
        <v>14</v>
      </c>
      <c r="J1088">
        <v>64</v>
      </c>
      <c r="K1088">
        <f t="shared" si="48"/>
        <v>0</v>
      </c>
      <c r="L1088" s="4">
        <f t="shared" ca="1" si="49"/>
        <v>20</v>
      </c>
      <c r="M1088" t="str">
        <f t="shared" si="50"/>
        <v>Aug-2024</v>
      </c>
      <c r="N1088" t="s">
        <v>23</v>
      </c>
    </row>
    <row r="1089" spans="1:14" x14ac:dyDescent="0.25">
      <c r="A1089" t="s">
        <v>1117</v>
      </c>
      <c r="B1089" s="1">
        <v>45837</v>
      </c>
      <c r="C1089" s="1">
        <v>45897</v>
      </c>
      <c r="D1089">
        <v>43</v>
      </c>
      <c r="E1089" t="s">
        <v>21</v>
      </c>
      <c r="F1089" t="s">
        <v>27</v>
      </c>
      <c r="G1089" t="s">
        <v>18</v>
      </c>
      <c r="H1089">
        <v>1598</v>
      </c>
      <c r="I1089">
        <v>2</v>
      </c>
      <c r="J1089">
        <v>37</v>
      </c>
      <c r="K1089">
        <f t="shared" si="48"/>
        <v>1</v>
      </c>
      <c r="L1089" s="4">
        <f t="shared" ca="1" si="49"/>
        <v>2</v>
      </c>
      <c r="M1089" t="str">
        <f t="shared" si="50"/>
        <v>Jun-2025</v>
      </c>
      <c r="N1089" t="s">
        <v>19</v>
      </c>
    </row>
    <row r="1090" spans="1:14" x14ac:dyDescent="0.25">
      <c r="A1090" t="s">
        <v>1118</v>
      </c>
      <c r="B1090" s="1">
        <v>45245</v>
      </c>
      <c r="D1090">
        <v>49</v>
      </c>
      <c r="E1090" t="s">
        <v>21</v>
      </c>
      <c r="F1090" t="s">
        <v>57</v>
      </c>
      <c r="G1090" t="s">
        <v>18</v>
      </c>
      <c r="H1090">
        <v>18377</v>
      </c>
      <c r="I1090">
        <v>23</v>
      </c>
      <c r="J1090">
        <v>51</v>
      </c>
      <c r="K1090">
        <f t="shared" si="48"/>
        <v>0</v>
      </c>
      <c r="L1090" s="4">
        <f t="shared" ca="1" si="49"/>
        <v>29</v>
      </c>
      <c r="M1090" t="str">
        <f t="shared" si="50"/>
        <v>Nov-2023</v>
      </c>
      <c r="N1090" t="s">
        <v>23</v>
      </c>
    </row>
    <row r="1091" spans="1:14" x14ac:dyDescent="0.25">
      <c r="A1091" t="s">
        <v>1119</v>
      </c>
      <c r="B1091" s="1">
        <v>45567</v>
      </c>
      <c r="D1091">
        <v>38</v>
      </c>
      <c r="E1091" t="s">
        <v>12</v>
      </c>
      <c r="F1091" t="s">
        <v>27</v>
      </c>
      <c r="G1091" t="s">
        <v>18</v>
      </c>
      <c r="H1091">
        <v>10387</v>
      </c>
      <c r="I1091">
        <v>13</v>
      </c>
      <c r="J1091">
        <v>56</v>
      </c>
      <c r="K1091">
        <f t="shared" ref="K1091:K1154" si="51">IF(ISBLANK(C1091), 0, 1)</f>
        <v>0</v>
      </c>
      <c r="L1091" s="4">
        <f t="shared" ref="L1091:L1154" ca="1" si="52">ROUNDUP(DATEDIF(B1091, IF(ISBLANK(C1091), TODAY(), C1091), "d")/30, 0)</f>
        <v>18</v>
      </c>
      <c r="M1091" t="str">
        <f t="shared" ref="M1091:M1154" si="53">TEXT(B1091, "mmm-yyyy")</f>
        <v>Oct-2024</v>
      </c>
      <c r="N1091" t="s">
        <v>19</v>
      </c>
    </row>
    <row r="1092" spans="1:14" x14ac:dyDescent="0.25">
      <c r="A1092" t="s">
        <v>1120</v>
      </c>
      <c r="B1092" s="1">
        <v>45753</v>
      </c>
      <c r="C1092" s="1">
        <v>45873</v>
      </c>
      <c r="D1092">
        <v>55</v>
      </c>
      <c r="E1092" t="s">
        <v>12</v>
      </c>
      <c r="F1092" t="s">
        <v>38</v>
      </c>
      <c r="G1092" t="s">
        <v>18</v>
      </c>
      <c r="H1092">
        <v>3196</v>
      </c>
      <c r="I1092">
        <v>4</v>
      </c>
      <c r="J1092">
        <v>71</v>
      </c>
      <c r="K1092">
        <f t="shared" si="51"/>
        <v>1</v>
      </c>
      <c r="L1092" s="4">
        <f t="shared" ca="1" si="52"/>
        <v>4</v>
      </c>
      <c r="M1092" t="str">
        <f t="shared" si="53"/>
        <v>Apr-2025</v>
      </c>
      <c r="N1092" t="s">
        <v>23</v>
      </c>
    </row>
    <row r="1093" spans="1:14" x14ac:dyDescent="0.25">
      <c r="A1093" t="s">
        <v>1121</v>
      </c>
      <c r="B1093" s="1">
        <v>45175</v>
      </c>
      <c r="D1093">
        <v>34</v>
      </c>
      <c r="E1093" t="s">
        <v>12</v>
      </c>
      <c r="F1093" t="s">
        <v>38</v>
      </c>
      <c r="G1093" t="s">
        <v>18</v>
      </c>
      <c r="H1093">
        <v>20774</v>
      </c>
      <c r="I1093">
        <v>26</v>
      </c>
      <c r="J1093">
        <v>65</v>
      </c>
      <c r="K1093">
        <f t="shared" si="51"/>
        <v>0</v>
      </c>
      <c r="L1093" s="4">
        <f t="shared" ca="1" si="52"/>
        <v>31</v>
      </c>
      <c r="M1093" t="str">
        <f t="shared" si="53"/>
        <v>Sep-2023</v>
      </c>
      <c r="N1093" t="s">
        <v>23</v>
      </c>
    </row>
    <row r="1094" spans="1:14" x14ac:dyDescent="0.25">
      <c r="A1094" t="s">
        <v>1122</v>
      </c>
      <c r="B1094" s="1">
        <v>45148</v>
      </c>
      <c r="D1094">
        <v>35</v>
      </c>
      <c r="E1094" t="s">
        <v>21</v>
      </c>
      <c r="F1094" t="s">
        <v>22</v>
      </c>
      <c r="G1094" t="s">
        <v>14</v>
      </c>
      <c r="H1094">
        <v>18873</v>
      </c>
      <c r="I1094">
        <v>27</v>
      </c>
      <c r="J1094">
        <v>91</v>
      </c>
      <c r="K1094">
        <f t="shared" si="51"/>
        <v>0</v>
      </c>
      <c r="L1094" s="4">
        <f t="shared" ca="1" si="52"/>
        <v>32</v>
      </c>
      <c r="M1094" t="str">
        <f t="shared" si="53"/>
        <v>Aug-2023</v>
      </c>
      <c r="N1094" t="s">
        <v>15</v>
      </c>
    </row>
    <row r="1095" spans="1:14" x14ac:dyDescent="0.25">
      <c r="A1095" t="s">
        <v>1123</v>
      </c>
      <c r="B1095" s="1">
        <v>45506</v>
      </c>
      <c r="C1095" s="1">
        <v>45776</v>
      </c>
      <c r="D1095">
        <v>56</v>
      </c>
      <c r="E1095" t="s">
        <v>21</v>
      </c>
      <c r="F1095" t="s">
        <v>47</v>
      </c>
      <c r="G1095" t="s">
        <v>18</v>
      </c>
      <c r="H1095">
        <v>7191</v>
      </c>
      <c r="I1095">
        <v>9</v>
      </c>
      <c r="J1095">
        <v>61</v>
      </c>
      <c r="K1095">
        <f t="shared" si="51"/>
        <v>1</v>
      </c>
      <c r="L1095" s="4">
        <f t="shared" ca="1" si="52"/>
        <v>9</v>
      </c>
      <c r="M1095" t="str">
        <f t="shared" si="53"/>
        <v>Aug-2024</v>
      </c>
      <c r="N1095" t="s">
        <v>19</v>
      </c>
    </row>
    <row r="1096" spans="1:14" x14ac:dyDescent="0.25">
      <c r="A1096" t="s">
        <v>1124</v>
      </c>
      <c r="B1096" s="1">
        <v>45879</v>
      </c>
      <c r="D1096">
        <v>51</v>
      </c>
      <c r="E1096" t="s">
        <v>12</v>
      </c>
      <c r="F1096" t="s">
        <v>17</v>
      </c>
      <c r="G1096" t="s">
        <v>18</v>
      </c>
      <c r="H1096">
        <v>1598</v>
      </c>
      <c r="I1096">
        <v>2</v>
      </c>
      <c r="J1096">
        <v>78</v>
      </c>
      <c r="K1096">
        <f t="shared" si="51"/>
        <v>0</v>
      </c>
      <c r="L1096" s="4">
        <f t="shared" ca="1" si="52"/>
        <v>8</v>
      </c>
      <c r="M1096" t="str">
        <f t="shared" si="53"/>
        <v>Aug-2025</v>
      </c>
      <c r="N1096" t="s">
        <v>23</v>
      </c>
    </row>
    <row r="1097" spans="1:14" x14ac:dyDescent="0.25">
      <c r="A1097" t="s">
        <v>1125</v>
      </c>
      <c r="B1097" s="1">
        <v>45020</v>
      </c>
      <c r="D1097">
        <v>20</v>
      </c>
      <c r="E1097" t="s">
        <v>21</v>
      </c>
      <c r="F1097" t="s">
        <v>29</v>
      </c>
      <c r="G1097" t="s">
        <v>18</v>
      </c>
      <c r="H1097">
        <v>24769</v>
      </c>
      <c r="I1097">
        <v>31</v>
      </c>
      <c r="J1097">
        <v>54</v>
      </c>
      <c r="K1097">
        <f t="shared" si="51"/>
        <v>0</v>
      </c>
      <c r="L1097" s="4">
        <f t="shared" ca="1" si="52"/>
        <v>36</v>
      </c>
      <c r="M1097" t="str">
        <f t="shared" si="53"/>
        <v>Apr-2023</v>
      </c>
      <c r="N1097" t="s">
        <v>19</v>
      </c>
    </row>
    <row r="1098" spans="1:14" x14ac:dyDescent="0.25">
      <c r="A1098" t="s">
        <v>1126</v>
      </c>
      <c r="B1098" s="1">
        <v>45326</v>
      </c>
      <c r="D1098">
        <v>58</v>
      </c>
      <c r="E1098" t="s">
        <v>12</v>
      </c>
      <c r="F1098" t="s">
        <v>41</v>
      </c>
      <c r="G1098" t="s">
        <v>18</v>
      </c>
      <c r="H1098">
        <v>16779</v>
      </c>
      <c r="I1098">
        <v>21</v>
      </c>
      <c r="J1098">
        <v>50</v>
      </c>
      <c r="K1098">
        <f t="shared" si="51"/>
        <v>0</v>
      </c>
      <c r="L1098" s="4">
        <f t="shared" ca="1" si="52"/>
        <v>26</v>
      </c>
      <c r="M1098" t="str">
        <f t="shared" si="53"/>
        <v>Feb-2024</v>
      </c>
      <c r="N1098" t="s">
        <v>23</v>
      </c>
    </row>
    <row r="1099" spans="1:14" x14ac:dyDescent="0.25">
      <c r="A1099" t="s">
        <v>1127</v>
      </c>
      <c r="B1099" s="1">
        <v>45683</v>
      </c>
      <c r="D1099">
        <v>45</v>
      </c>
      <c r="E1099" t="s">
        <v>12</v>
      </c>
      <c r="F1099" t="s">
        <v>29</v>
      </c>
      <c r="G1099" t="s">
        <v>18</v>
      </c>
      <c r="H1099">
        <v>7191</v>
      </c>
      <c r="I1099">
        <v>9</v>
      </c>
      <c r="J1099">
        <v>73</v>
      </c>
      <c r="K1099">
        <f t="shared" si="51"/>
        <v>0</v>
      </c>
      <c r="L1099" s="4">
        <f t="shared" ca="1" si="52"/>
        <v>14</v>
      </c>
      <c r="M1099" t="str">
        <f t="shared" si="53"/>
        <v>Jan-2025</v>
      </c>
      <c r="N1099" t="s">
        <v>25</v>
      </c>
    </row>
    <row r="1100" spans="1:14" x14ac:dyDescent="0.25">
      <c r="A1100" t="s">
        <v>1128</v>
      </c>
      <c r="B1100" s="1">
        <v>45305</v>
      </c>
      <c r="D1100">
        <v>57</v>
      </c>
      <c r="E1100" t="s">
        <v>12</v>
      </c>
      <c r="F1100" t="s">
        <v>57</v>
      </c>
      <c r="G1100" t="s">
        <v>18</v>
      </c>
      <c r="H1100">
        <v>16779</v>
      </c>
      <c r="I1100">
        <v>21</v>
      </c>
      <c r="J1100">
        <v>43</v>
      </c>
      <c r="K1100">
        <f t="shared" si="51"/>
        <v>0</v>
      </c>
      <c r="L1100" s="4">
        <f t="shared" ca="1" si="52"/>
        <v>27</v>
      </c>
      <c r="M1100" t="str">
        <f t="shared" si="53"/>
        <v>Jan-2024</v>
      </c>
      <c r="N1100" t="s">
        <v>15</v>
      </c>
    </row>
    <row r="1101" spans="1:14" x14ac:dyDescent="0.25">
      <c r="A1101" t="s">
        <v>1129</v>
      </c>
      <c r="B1101" s="1">
        <v>44998</v>
      </c>
      <c r="D1101">
        <v>49</v>
      </c>
      <c r="E1101" t="s">
        <v>12</v>
      </c>
      <c r="F1101" t="s">
        <v>47</v>
      </c>
      <c r="G1101" t="s">
        <v>18</v>
      </c>
      <c r="H1101">
        <v>25568</v>
      </c>
      <c r="I1101">
        <v>32</v>
      </c>
      <c r="J1101">
        <v>75</v>
      </c>
      <c r="K1101">
        <f t="shared" si="51"/>
        <v>0</v>
      </c>
      <c r="L1101" s="4">
        <f t="shared" ca="1" si="52"/>
        <v>37</v>
      </c>
      <c r="M1101" t="str">
        <f t="shared" si="53"/>
        <v>Mar-2023</v>
      </c>
      <c r="N1101" t="s">
        <v>19</v>
      </c>
    </row>
    <row r="1102" spans="1:14" x14ac:dyDescent="0.25">
      <c r="A1102" t="s">
        <v>1130</v>
      </c>
      <c r="B1102" s="1">
        <v>45520</v>
      </c>
      <c r="D1102">
        <v>26</v>
      </c>
      <c r="E1102" t="s">
        <v>21</v>
      </c>
      <c r="F1102" t="s">
        <v>32</v>
      </c>
      <c r="G1102" t="s">
        <v>18</v>
      </c>
      <c r="H1102">
        <v>11186</v>
      </c>
      <c r="I1102">
        <v>14</v>
      </c>
      <c r="J1102">
        <v>57</v>
      </c>
      <c r="K1102">
        <f t="shared" si="51"/>
        <v>0</v>
      </c>
      <c r="L1102" s="4">
        <f t="shared" ca="1" si="52"/>
        <v>20</v>
      </c>
      <c r="M1102" t="str">
        <f t="shared" si="53"/>
        <v>Aug-2024</v>
      </c>
      <c r="N1102" t="s">
        <v>23</v>
      </c>
    </row>
    <row r="1103" spans="1:14" x14ac:dyDescent="0.25">
      <c r="A1103" t="s">
        <v>1131</v>
      </c>
      <c r="B1103" s="1">
        <v>44949</v>
      </c>
      <c r="D1103">
        <v>58</v>
      </c>
      <c r="E1103" t="s">
        <v>21</v>
      </c>
      <c r="F1103" t="s">
        <v>38</v>
      </c>
      <c r="G1103" t="s">
        <v>14</v>
      </c>
      <c r="H1103">
        <v>23067</v>
      </c>
      <c r="I1103">
        <v>33</v>
      </c>
      <c r="J1103">
        <v>33</v>
      </c>
      <c r="K1103">
        <f t="shared" si="51"/>
        <v>0</v>
      </c>
      <c r="L1103" s="4">
        <f t="shared" ca="1" si="52"/>
        <v>39</v>
      </c>
      <c r="M1103" t="str">
        <f t="shared" si="53"/>
        <v>Jan-2023</v>
      </c>
      <c r="N1103" t="s">
        <v>19</v>
      </c>
    </row>
    <row r="1104" spans="1:14" x14ac:dyDescent="0.25">
      <c r="A1104" t="s">
        <v>1132</v>
      </c>
      <c r="B1104" s="1">
        <v>45799</v>
      </c>
      <c r="D1104">
        <v>31</v>
      </c>
      <c r="E1104" t="s">
        <v>12</v>
      </c>
      <c r="F1104" t="s">
        <v>13</v>
      </c>
      <c r="G1104" t="s">
        <v>30</v>
      </c>
      <c r="H1104">
        <v>3745</v>
      </c>
      <c r="I1104">
        <v>5</v>
      </c>
      <c r="J1104">
        <v>58</v>
      </c>
      <c r="K1104">
        <f t="shared" si="51"/>
        <v>0</v>
      </c>
      <c r="L1104" s="4">
        <f t="shared" ca="1" si="52"/>
        <v>10</v>
      </c>
      <c r="M1104" t="str">
        <f t="shared" si="53"/>
        <v>May-2025</v>
      </c>
      <c r="N1104" t="s">
        <v>15</v>
      </c>
    </row>
    <row r="1105" spans="1:14" x14ac:dyDescent="0.25">
      <c r="A1105" t="s">
        <v>1133</v>
      </c>
      <c r="B1105" s="1">
        <v>44957</v>
      </c>
      <c r="D1105">
        <v>23</v>
      </c>
      <c r="E1105" t="s">
        <v>12</v>
      </c>
      <c r="F1105" t="s">
        <v>17</v>
      </c>
      <c r="G1105" t="s">
        <v>18</v>
      </c>
      <c r="H1105">
        <v>26367</v>
      </c>
      <c r="I1105">
        <v>33</v>
      </c>
      <c r="J1105">
        <v>43</v>
      </c>
      <c r="K1105">
        <f t="shared" si="51"/>
        <v>0</v>
      </c>
      <c r="L1105" s="4">
        <f t="shared" ca="1" si="52"/>
        <v>38</v>
      </c>
      <c r="M1105" t="str">
        <f t="shared" si="53"/>
        <v>Jan-2023</v>
      </c>
      <c r="N1105" t="s">
        <v>19</v>
      </c>
    </row>
    <row r="1106" spans="1:14" x14ac:dyDescent="0.25">
      <c r="A1106" t="s">
        <v>1134</v>
      </c>
      <c r="B1106" s="1">
        <v>45747</v>
      </c>
      <c r="D1106">
        <v>28</v>
      </c>
      <c r="E1106" t="s">
        <v>21</v>
      </c>
      <c r="F1106" t="s">
        <v>32</v>
      </c>
      <c r="G1106" t="s">
        <v>30</v>
      </c>
      <c r="H1106">
        <v>5243</v>
      </c>
      <c r="I1106">
        <v>7</v>
      </c>
      <c r="J1106">
        <v>92</v>
      </c>
      <c r="K1106">
        <f t="shared" si="51"/>
        <v>0</v>
      </c>
      <c r="L1106" s="4">
        <f t="shared" ca="1" si="52"/>
        <v>12</v>
      </c>
      <c r="M1106" t="str">
        <f t="shared" si="53"/>
        <v>Mar-2025</v>
      </c>
      <c r="N1106" t="s">
        <v>23</v>
      </c>
    </row>
    <row r="1107" spans="1:14" x14ac:dyDescent="0.25">
      <c r="A1107" t="s">
        <v>1135</v>
      </c>
      <c r="B1107" s="1">
        <v>45186</v>
      </c>
      <c r="D1107">
        <v>21</v>
      </c>
      <c r="E1107" t="s">
        <v>12</v>
      </c>
      <c r="F1107" t="s">
        <v>13</v>
      </c>
      <c r="G1107" t="s">
        <v>18</v>
      </c>
      <c r="H1107">
        <v>19975</v>
      </c>
      <c r="I1107">
        <v>25</v>
      </c>
      <c r="J1107">
        <v>61</v>
      </c>
      <c r="K1107">
        <f t="shared" si="51"/>
        <v>0</v>
      </c>
      <c r="L1107" s="4">
        <f t="shared" ca="1" si="52"/>
        <v>31</v>
      </c>
      <c r="M1107" t="str">
        <f t="shared" si="53"/>
        <v>Sep-2023</v>
      </c>
      <c r="N1107" t="s">
        <v>15</v>
      </c>
    </row>
    <row r="1108" spans="1:14" x14ac:dyDescent="0.25">
      <c r="A1108" t="s">
        <v>1136</v>
      </c>
      <c r="B1108" s="1">
        <v>44905</v>
      </c>
      <c r="D1108">
        <v>48</v>
      </c>
      <c r="E1108" t="s">
        <v>21</v>
      </c>
      <c r="F1108" t="s">
        <v>22</v>
      </c>
      <c r="G1108" t="s">
        <v>18</v>
      </c>
      <c r="H1108">
        <v>27965</v>
      </c>
      <c r="I1108">
        <v>35</v>
      </c>
      <c r="J1108">
        <v>78</v>
      </c>
      <c r="K1108">
        <f t="shared" si="51"/>
        <v>0</v>
      </c>
      <c r="L1108" s="4">
        <f t="shared" ca="1" si="52"/>
        <v>40</v>
      </c>
      <c r="M1108" t="str">
        <f t="shared" si="53"/>
        <v>Dec-2022</v>
      </c>
      <c r="N1108" t="s">
        <v>19</v>
      </c>
    </row>
    <row r="1109" spans="1:14" x14ac:dyDescent="0.25">
      <c r="A1109" t="s">
        <v>1137</v>
      </c>
      <c r="B1109" s="1">
        <v>45801</v>
      </c>
      <c r="C1109" s="1">
        <v>45831</v>
      </c>
      <c r="D1109">
        <v>42</v>
      </c>
      <c r="E1109" t="s">
        <v>21</v>
      </c>
      <c r="F1109" t="s">
        <v>57</v>
      </c>
      <c r="G1109" t="s">
        <v>14</v>
      </c>
      <c r="H1109">
        <v>699</v>
      </c>
      <c r="I1109">
        <v>1</v>
      </c>
      <c r="J1109">
        <v>31</v>
      </c>
      <c r="K1109">
        <f t="shared" si="51"/>
        <v>1</v>
      </c>
      <c r="L1109" s="4">
        <f t="shared" ca="1" si="52"/>
        <v>1</v>
      </c>
      <c r="M1109" t="str">
        <f t="shared" si="53"/>
        <v>May-2025</v>
      </c>
      <c r="N1109" t="s">
        <v>23</v>
      </c>
    </row>
    <row r="1110" spans="1:14" x14ac:dyDescent="0.25">
      <c r="A1110" t="s">
        <v>1138</v>
      </c>
      <c r="B1110" s="1">
        <v>45567</v>
      </c>
      <c r="D1110">
        <v>48</v>
      </c>
      <c r="E1110" t="s">
        <v>12</v>
      </c>
      <c r="F1110" t="s">
        <v>17</v>
      </c>
      <c r="G1110" t="s">
        <v>14</v>
      </c>
      <c r="H1110">
        <v>9087</v>
      </c>
      <c r="I1110">
        <v>13</v>
      </c>
      <c r="J1110">
        <v>28</v>
      </c>
      <c r="K1110">
        <f t="shared" si="51"/>
        <v>0</v>
      </c>
      <c r="L1110" s="4">
        <f t="shared" ca="1" si="52"/>
        <v>18</v>
      </c>
      <c r="M1110" t="str">
        <f t="shared" si="53"/>
        <v>Oct-2024</v>
      </c>
      <c r="N1110" t="s">
        <v>19</v>
      </c>
    </row>
    <row r="1111" spans="1:14" x14ac:dyDescent="0.25">
      <c r="A1111" t="s">
        <v>1139</v>
      </c>
      <c r="B1111" s="1">
        <v>45200</v>
      </c>
      <c r="D1111">
        <v>57</v>
      </c>
      <c r="E1111" t="s">
        <v>21</v>
      </c>
      <c r="F1111" t="s">
        <v>27</v>
      </c>
      <c r="G1111" t="s">
        <v>30</v>
      </c>
      <c r="H1111">
        <v>18725</v>
      </c>
      <c r="I1111">
        <v>25</v>
      </c>
      <c r="J1111">
        <v>35</v>
      </c>
      <c r="K1111">
        <f t="shared" si="51"/>
        <v>0</v>
      </c>
      <c r="L1111" s="4">
        <f t="shared" ca="1" si="52"/>
        <v>30</v>
      </c>
      <c r="M1111" t="str">
        <f t="shared" si="53"/>
        <v>Oct-2023</v>
      </c>
      <c r="N1111" t="s">
        <v>19</v>
      </c>
    </row>
    <row r="1112" spans="1:14" x14ac:dyDescent="0.25">
      <c r="A1112" t="s">
        <v>1140</v>
      </c>
      <c r="B1112" s="1">
        <v>45154</v>
      </c>
      <c r="D1112">
        <v>25</v>
      </c>
      <c r="E1112" t="s">
        <v>21</v>
      </c>
      <c r="F1112" t="s">
        <v>41</v>
      </c>
      <c r="G1112" t="s">
        <v>30</v>
      </c>
      <c r="H1112">
        <v>19474</v>
      </c>
      <c r="I1112">
        <v>26</v>
      </c>
      <c r="J1112">
        <v>32</v>
      </c>
      <c r="K1112">
        <f t="shared" si="51"/>
        <v>0</v>
      </c>
      <c r="L1112" s="4">
        <f t="shared" ca="1" si="52"/>
        <v>32</v>
      </c>
      <c r="M1112" t="str">
        <f t="shared" si="53"/>
        <v>Aug-2023</v>
      </c>
      <c r="N1112" t="s">
        <v>23</v>
      </c>
    </row>
    <row r="1113" spans="1:14" x14ac:dyDescent="0.25">
      <c r="A1113" t="s">
        <v>1141</v>
      </c>
      <c r="B1113" s="1">
        <v>45897</v>
      </c>
      <c r="D1113">
        <v>29</v>
      </c>
      <c r="E1113" t="s">
        <v>12</v>
      </c>
      <c r="F1113" t="s">
        <v>38</v>
      </c>
      <c r="G1113" t="s">
        <v>14</v>
      </c>
      <c r="H1113">
        <v>1398</v>
      </c>
      <c r="I1113">
        <v>2</v>
      </c>
      <c r="J1113">
        <v>66</v>
      </c>
      <c r="K1113">
        <f t="shared" si="51"/>
        <v>0</v>
      </c>
      <c r="L1113" s="4">
        <f t="shared" ca="1" si="52"/>
        <v>7</v>
      </c>
      <c r="M1113" t="str">
        <f t="shared" si="53"/>
        <v>Aug-2025</v>
      </c>
      <c r="N1113" t="s">
        <v>19</v>
      </c>
    </row>
    <row r="1114" spans="1:14" x14ac:dyDescent="0.25">
      <c r="A1114" t="s">
        <v>1142</v>
      </c>
      <c r="B1114" s="1">
        <v>45138</v>
      </c>
      <c r="D1114">
        <v>39</v>
      </c>
      <c r="E1114" t="s">
        <v>21</v>
      </c>
      <c r="F1114" t="s">
        <v>22</v>
      </c>
      <c r="G1114" t="s">
        <v>30</v>
      </c>
      <c r="H1114">
        <v>20223</v>
      </c>
      <c r="I1114">
        <v>27</v>
      </c>
      <c r="J1114">
        <v>59</v>
      </c>
      <c r="K1114">
        <f t="shared" si="51"/>
        <v>0</v>
      </c>
      <c r="L1114" s="4">
        <f t="shared" ca="1" si="52"/>
        <v>32</v>
      </c>
      <c r="M1114" t="str">
        <f t="shared" si="53"/>
        <v>Jul-2023</v>
      </c>
      <c r="N1114" t="s">
        <v>23</v>
      </c>
    </row>
    <row r="1115" spans="1:14" x14ac:dyDescent="0.25">
      <c r="A1115" t="s">
        <v>1143</v>
      </c>
      <c r="B1115" s="1">
        <v>45677</v>
      </c>
      <c r="D1115">
        <v>36</v>
      </c>
      <c r="E1115" t="s">
        <v>21</v>
      </c>
      <c r="F1115" t="s">
        <v>47</v>
      </c>
      <c r="G1115" t="s">
        <v>14</v>
      </c>
      <c r="H1115">
        <v>6291</v>
      </c>
      <c r="I1115">
        <v>9</v>
      </c>
      <c r="J1115">
        <v>64</v>
      </c>
      <c r="K1115">
        <f t="shared" si="51"/>
        <v>0</v>
      </c>
      <c r="L1115" s="4">
        <f t="shared" ca="1" si="52"/>
        <v>14</v>
      </c>
      <c r="M1115" t="str">
        <f t="shared" si="53"/>
        <v>Jan-2025</v>
      </c>
      <c r="N1115" t="s">
        <v>19</v>
      </c>
    </row>
    <row r="1116" spans="1:14" x14ac:dyDescent="0.25">
      <c r="A1116" t="s">
        <v>1144</v>
      </c>
      <c r="B1116" s="1">
        <v>45276</v>
      </c>
      <c r="D1116">
        <v>58</v>
      </c>
      <c r="E1116" t="s">
        <v>12</v>
      </c>
      <c r="F1116" t="s">
        <v>17</v>
      </c>
      <c r="G1116" t="s">
        <v>18</v>
      </c>
      <c r="H1116">
        <v>17578</v>
      </c>
      <c r="I1116">
        <v>22</v>
      </c>
      <c r="J1116">
        <v>77</v>
      </c>
      <c r="K1116">
        <f t="shared" si="51"/>
        <v>0</v>
      </c>
      <c r="L1116" s="4">
        <f t="shared" ca="1" si="52"/>
        <v>28</v>
      </c>
      <c r="M1116" t="str">
        <f t="shared" si="53"/>
        <v>Dec-2023</v>
      </c>
      <c r="N1116" t="s">
        <v>23</v>
      </c>
    </row>
    <row r="1117" spans="1:14" x14ac:dyDescent="0.25">
      <c r="A1117" t="s">
        <v>1145</v>
      </c>
      <c r="B1117" s="1">
        <v>45640</v>
      </c>
      <c r="D1117">
        <v>34</v>
      </c>
      <c r="E1117" t="s">
        <v>12</v>
      </c>
      <c r="F1117" t="s">
        <v>29</v>
      </c>
      <c r="G1117" t="s">
        <v>18</v>
      </c>
      <c r="H1117">
        <v>7990</v>
      </c>
      <c r="I1117">
        <v>10</v>
      </c>
      <c r="J1117">
        <v>56</v>
      </c>
      <c r="K1117">
        <f t="shared" si="51"/>
        <v>0</v>
      </c>
      <c r="L1117" s="4">
        <f t="shared" ca="1" si="52"/>
        <v>16</v>
      </c>
      <c r="M1117" t="str">
        <f t="shared" si="53"/>
        <v>Dec-2024</v>
      </c>
      <c r="N1117" t="s">
        <v>23</v>
      </c>
    </row>
    <row r="1118" spans="1:14" x14ac:dyDescent="0.25">
      <c r="A1118" t="s">
        <v>1146</v>
      </c>
      <c r="B1118" s="1">
        <v>45162</v>
      </c>
      <c r="D1118">
        <v>45</v>
      </c>
      <c r="E1118" t="s">
        <v>12</v>
      </c>
      <c r="F1118" t="s">
        <v>13</v>
      </c>
      <c r="G1118" t="s">
        <v>30</v>
      </c>
      <c r="H1118">
        <v>19474</v>
      </c>
      <c r="I1118">
        <v>26</v>
      </c>
      <c r="J1118">
        <v>68</v>
      </c>
      <c r="K1118">
        <f t="shared" si="51"/>
        <v>0</v>
      </c>
      <c r="L1118" s="4">
        <f t="shared" ca="1" si="52"/>
        <v>32</v>
      </c>
      <c r="M1118" t="str">
        <f t="shared" si="53"/>
        <v>Aug-2023</v>
      </c>
      <c r="N1118" t="s">
        <v>19</v>
      </c>
    </row>
    <row r="1119" spans="1:14" x14ac:dyDescent="0.25">
      <c r="A1119" t="s">
        <v>1147</v>
      </c>
      <c r="B1119" s="1">
        <v>45899</v>
      </c>
      <c r="D1119">
        <v>53</v>
      </c>
      <c r="E1119" t="s">
        <v>12</v>
      </c>
      <c r="F1119" t="s">
        <v>27</v>
      </c>
      <c r="G1119" t="s">
        <v>30</v>
      </c>
      <c r="H1119">
        <v>1498</v>
      </c>
      <c r="I1119">
        <v>2</v>
      </c>
      <c r="J1119">
        <v>31</v>
      </c>
      <c r="K1119">
        <f t="shared" si="51"/>
        <v>0</v>
      </c>
      <c r="L1119" s="4">
        <f t="shared" ca="1" si="52"/>
        <v>7</v>
      </c>
      <c r="M1119" t="str">
        <f t="shared" si="53"/>
        <v>Aug-2025</v>
      </c>
      <c r="N1119" t="s">
        <v>19</v>
      </c>
    </row>
    <row r="1120" spans="1:14" x14ac:dyDescent="0.25">
      <c r="A1120" t="s">
        <v>1148</v>
      </c>
      <c r="B1120" s="1">
        <v>45177</v>
      </c>
      <c r="D1120">
        <v>53</v>
      </c>
      <c r="E1120" t="s">
        <v>12</v>
      </c>
      <c r="F1120" t="s">
        <v>57</v>
      </c>
      <c r="G1120" t="s">
        <v>18</v>
      </c>
      <c r="H1120">
        <v>20774</v>
      </c>
      <c r="I1120">
        <v>26</v>
      </c>
      <c r="J1120">
        <v>85</v>
      </c>
      <c r="K1120">
        <f t="shared" si="51"/>
        <v>0</v>
      </c>
      <c r="L1120" s="4">
        <f t="shared" ca="1" si="52"/>
        <v>31</v>
      </c>
      <c r="M1120" t="str">
        <f t="shared" si="53"/>
        <v>Sep-2023</v>
      </c>
      <c r="N1120" t="s">
        <v>25</v>
      </c>
    </row>
    <row r="1121" spans="1:14" x14ac:dyDescent="0.25">
      <c r="A1121" t="s">
        <v>1149</v>
      </c>
      <c r="B1121" s="1">
        <v>45792</v>
      </c>
      <c r="C1121" s="1">
        <v>45852</v>
      </c>
      <c r="D1121">
        <v>41</v>
      </c>
      <c r="E1121" t="s">
        <v>12</v>
      </c>
      <c r="F1121" t="s">
        <v>38</v>
      </c>
      <c r="G1121" t="s">
        <v>18</v>
      </c>
      <c r="H1121">
        <v>1598</v>
      </c>
      <c r="I1121">
        <v>2</v>
      </c>
      <c r="J1121">
        <v>26</v>
      </c>
      <c r="K1121">
        <f t="shared" si="51"/>
        <v>1</v>
      </c>
      <c r="L1121" s="4">
        <f t="shared" ca="1" si="52"/>
        <v>2</v>
      </c>
      <c r="M1121" t="str">
        <f t="shared" si="53"/>
        <v>May-2025</v>
      </c>
      <c r="N1121" t="s">
        <v>19</v>
      </c>
    </row>
    <row r="1122" spans="1:14" x14ac:dyDescent="0.25">
      <c r="A1122" t="s">
        <v>1150</v>
      </c>
      <c r="B1122" s="1">
        <v>45087</v>
      </c>
      <c r="D1122">
        <v>53</v>
      </c>
      <c r="E1122" t="s">
        <v>12</v>
      </c>
      <c r="F1122" t="s">
        <v>41</v>
      </c>
      <c r="G1122" t="s">
        <v>18</v>
      </c>
      <c r="H1122">
        <v>23171</v>
      </c>
      <c r="I1122">
        <v>29</v>
      </c>
      <c r="J1122">
        <v>81</v>
      </c>
      <c r="K1122">
        <f t="shared" si="51"/>
        <v>0</v>
      </c>
      <c r="L1122" s="4">
        <f t="shared" ca="1" si="52"/>
        <v>34</v>
      </c>
      <c r="M1122" t="str">
        <f t="shared" si="53"/>
        <v>Jun-2023</v>
      </c>
      <c r="N1122" t="s">
        <v>23</v>
      </c>
    </row>
    <row r="1123" spans="1:14" x14ac:dyDescent="0.25">
      <c r="A1123" t="s">
        <v>1151</v>
      </c>
      <c r="B1123" s="1">
        <v>45259</v>
      </c>
      <c r="D1123">
        <v>53</v>
      </c>
      <c r="E1123" t="s">
        <v>12</v>
      </c>
      <c r="F1123" t="s">
        <v>32</v>
      </c>
      <c r="G1123" t="s">
        <v>18</v>
      </c>
      <c r="H1123">
        <v>18377</v>
      </c>
      <c r="I1123">
        <v>23</v>
      </c>
      <c r="J1123">
        <v>61</v>
      </c>
      <c r="K1123">
        <f t="shared" si="51"/>
        <v>0</v>
      </c>
      <c r="L1123" s="4">
        <f t="shared" ca="1" si="52"/>
        <v>28</v>
      </c>
      <c r="M1123" t="str">
        <f t="shared" si="53"/>
        <v>Nov-2023</v>
      </c>
      <c r="N1123" t="s">
        <v>23</v>
      </c>
    </row>
    <row r="1124" spans="1:14" x14ac:dyDescent="0.25">
      <c r="A1124" t="s">
        <v>1152</v>
      </c>
      <c r="B1124" s="1">
        <v>45791</v>
      </c>
      <c r="D1124">
        <v>22</v>
      </c>
      <c r="E1124" t="s">
        <v>21</v>
      </c>
      <c r="F1124" t="s">
        <v>27</v>
      </c>
      <c r="G1124" t="s">
        <v>18</v>
      </c>
      <c r="H1124">
        <v>3995</v>
      </c>
      <c r="I1124">
        <v>5</v>
      </c>
      <c r="J1124">
        <v>48</v>
      </c>
      <c r="K1124">
        <f t="shared" si="51"/>
        <v>0</v>
      </c>
      <c r="L1124" s="4">
        <f t="shared" ca="1" si="52"/>
        <v>11</v>
      </c>
      <c r="M1124" t="str">
        <f t="shared" si="53"/>
        <v>May-2025</v>
      </c>
      <c r="N1124" t="s">
        <v>25</v>
      </c>
    </row>
    <row r="1125" spans="1:14" x14ac:dyDescent="0.25">
      <c r="A1125" t="s">
        <v>1153</v>
      </c>
      <c r="B1125" s="1">
        <v>45414</v>
      </c>
      <c r="D1125">
        <v>45</v>
      </c>
      <c r="E1125" t="s">
        <v>21</v>
      </c>
      <c r="F1125" t="s">
        <v>32</v>
      </c>
      <c r="G1125" t="s">
        <v>14</v>
      </c>
      <c r="H1125">
        <v>12582</v>
      </c>
      <c r="I1125">
        <v>18</v>
      </c>
      <c r="J1125">
        <v>76</v>
      </c>
      <c r="K1125">
        <f t="shared" si="51"/>
        <v>0</v>
      </c>
      <c r="L1125" s="4">
        <f t="shared" ca="1" si="52"/>
        <v>23</v>
      </c>
      <c r="M1125" t="str">
        <f t="shared" si="53"/>
        <v>May-2024</v>
      </c>
      <c r="N1125" t="s">
        <v>23</v>
      </c>
    </row>
    <row r="1126" spans="1:14" x14ac:dyDescent="0.25">
      <c r="A1126" t="s">
        <v>1154</v>
      </c>
      <c r="B1126" s="1">
        <v>45408</v>
      </c>
      <c r="C1126" s="1">
        <v>45918</v>
      </c>
      <c r="D1126">
        <v>21</v>
      </c>
      <c r="E1126" t="s">
        <v>12</v>
      </c>
      <c r="F1126" t="s">
        <v>41</v>
      </c>
      <c r="G1126" t="s">
        <v>18</v>
      </c>
      <c r="H1126">
        <v>13583</v>
      </c>
      <c r="I1126">
        <v>17</v>
      </c>
      <c r="J1126">
        <v>38</v>
      </c>
      <c r="K1126">
        <f t="shared" si="51"/>
        <v>1</v>
      </c>
      <c r="L1126" s="4">
        <f t="shared" ca="1" si="52"/>
        <v>17</v>
      </c>
      <c r="M1126" t="str">
        <f t="shared" si="53"/>
        <v>Apr-2024</v>
      </c>
      <c r="N1126" t="s">
        <v>23</v>
      </c>
    </row>
    <row r="1127" spans="1:14" x14ac:dyDescent="0.25">
      <c r="A1127" t="s">
        <v>1155</v>
      </c>
      <c r="B1127" s="1">
        <v>45896</v>
      </c>
      <c r="C1127" s="1">
        <v>45926</v>
      </c>
      <c r="D1127">
        <v>37</v>
      </c>
      <c r="E1127" t="s">
        <v>21</v>
      </c>
      <c r="F1127" t="s">
        <v>22</v>
      </c>
      <c r="G1127" t="s">
        <v>18</v>
      </c>
      <c r="H1127">
        <v>799</v>
      </c>
      <c r="I1127">
        <v>1</v>
      </c>
      <c r="J1127">
        <v>32</v>
      </c>
      <c r="K1127">
        <f t="shared" si="51"/>
        <v>1</v>
      </c>
      <c r="L1127" s="4">
        <f t="shared" ca="1" si="52"/>
        <v>1</v>
      </c>
      <c r="M1127" t="str">
        <f t="shared" si="53"/>
        <v>Aug-2025</v>
      </c>
      <c r="N1127" t="s">
        <v>19</v>
      </c>
    </row>
    <row r="1128" spans="1:14" x14ac:dyDescent="0.25">
      <c r="A1128" t="s">
        <v>1156</v>
      </c>
      <c r="B1128" s="1">
        <v>45407</v>
      </c>
      <c r="D1128">
        <v>39</v>
      </c>
      <c r="E1128" t="s">
        <v>12</v>
      </c>
      <c r="F1128" t="s">
        <v>57</v>
      </c>
      <c r="G1128" t="s">
        <v>30</v>
      </c>
      <c r="H1128">
        <v>13482</v>
      </c>
      <c r="I1128">
        <v>18</v>
      </c>
      <c r="J1128">
        <v>48</v>
      </c>
      <c r="K1128">
        <f t="shared" si="51"/>
        <v>0</v>
      </c>
      <c r="L1128" s="4">
        <f t="shared" ca="1" si="52"/>
        <v>23</v>
      </c>
      <c r="M1128" t="str">
        <f t="shared" si="53"/>
        <v>Apr-2024</v>
      </c>
      <c r="N1128" t="s">
        <v>23</v>
      </c>
    </row>
    <row r="1129" spans="1:14" x14ac:dyDescent="0.25">
      <c r="A1129" t="s">
        <v>1157</v>
      </c>
      <c r="B1129" s="1">
        <v>45093</v>
      </c>
      <c r="C1129" s="1">
        <v>45213</v>
      </c>
      <c r="D1129">
        <v>42</v>
      </c>
      <c r="E1129" t="s">
        <v>12</v>
      </c>
      <c r="F1129" t="s">
        <v>17</v>
      </c>
      <c r="G1129" t="s">
        <v>18</v>
      </c>
      <c r="H1129">
        <v>3196</v>
      </c>
      <c r="I1129">
        <v>4</v>
      </c>
      <c r="J1129">
        <v>35</v>
      </c>
      <c r="K1129">
        <f t="shared" si="51"/>
        <v>1</v>
      </c>
      <c r="L1129" s="4">
        <f t="shared" ca="1" si="52"/>
        <v>4</v>
      </c>
      <c r="M1129" t="str">
        <f t="shared" si="53"/>
        <v>Jun-2023</v>
      </c>
      <c r="N1129" t="s">
        <v>23</v>
      </c>
    </row>
    <row r="1130" spans="1:14" x14ac:dyDescent="0.25">
      <c r="A1130" t="s">
        <v>1158</v>
      </c>
      <c r="B1130" s="1">
        <v>45674</v>
      </c>
      <c r="D1130">
        <v>23</v>
      </c>
      <c r="E1130" t="s">
        <v>12</v>
      </c>
      <c r="F1130" t="s">
        <v>38</v>
      </c>
      <c r="G1130" t="s">
        <v>30</v>
      </c>
      <c r="H1130">
        <v>6741</v>
      </c>
      <c r="I1130">
        <v>9</v>
      </c>
      <c r="J1130">
        <v>48</v>
      </c>
      <c r="K1130">
        <f t="shared" si="51"/>
        <v>0</v>
      </c>
      <c r="L1130" s="4">
        <f t="shared" ca="1" si="52"/>
        <v>15</v>
      </c>
      <c r="M1130" t="str">
        <f t="shared" si="53"/>
        <v>Jan-2025</v>
      </c>
      <c r="N1130" t="s">
        <v>19</v>
      </c>
    </row>
    <row r="1131" spans="1:14" x14ac:dyDescent="0.25">
      <c r="A1131" t="s">
        <v>1159</v>
      </c>
      <c r="B1131" s="1">
        <v>45089</v>
      </c>
      <c r="D1131">
        <v>59</v>
      </c>
      <c r="E1131" t="s">
        <v>21</v>
      </c>
      <c r="F1131" t="s">
        <v>17</v>
      </c>
      <c r="G1131" t="s">
        <v>14</v>
      </c>
      <c r="H1131">
        <v>20271</v>
      </c>
      <c r="I1131">
        <v>29</v>
      </c>
      <c r="J1131">
        <v>76</v>
      </c>
      <c r="K1131">
        <f t="shared" si="51"/>
        <v>0</v>
      </c>
      <c r="L1131" s="4">
        <f t="shared" ca="1" si="52"/>
        <v>34</v>
      </c>
      <c r="M1131" t="str">
        <f t="shared" si="53"/>
        <v>Jun-2023</v>
      </c>
      <c r="N1131" t="s">
        <v>15</v>
      </c>
    </row>
    <row r="1132" spans="1:14" x14ac:dyDescent="0.25">
      <c r="A1132" t="s">
        <v>1160</v>
      </c>
      <c r="B1132" s="1">
        <v>45567</v>
      </c>
      <c r="D1132">
        <v>19</v>
      </c>
      <c r="E1132" t="s">
        <v>12</v>
      </c>
      <c r="F1132" t="s">
        <v>41</v>
      </c>
      <c r="G1132" t="s">
        <v>18</v>
      </c>
      <c r="H1132">
        <v>10387</v>
      </c>
      <c r="I1132">
        <v>13</v>
      </c>
      <c r="J1132">
        <v>66</v>
      </c>
      <c r="K1132">
        <f t="shared" si="51"/>
        <v>0</v>
      </c>
      <c r="L1132" s="4">
        <f t="shared" ca="1" si="52"/>
        <v>18</v>
      </c>
      <c r="M1132" t="str">
        <f t="shared" si="53"/>
        <v>Oct-2024</v>
      </c>
      <c r="N1132" t="s">
        <v>19</v>
      </c>
    </row>
    <row r="1133" spans="1:14" x14ac:dyDescent="0.25">
      <c r="A1133" t="s">
        <v>1161</v>
      </c>
      <c r="B1133" s="1">
        <v>45292</v>
      </c>
      <c r="D1133">
        <v>44</v>
      </c>
      <c r="E1133" t="s">
        <v>12</v>
      </c>
      <c r="F1133" t="s">
        <v>57</v>
      </c>
      <c r="G1133" t="s">
        <v>18</v>
      </c>
      <c r="H1133">
        <v>17578</v>
      </c>
      <c r="I1133">
        <v>22</v>
      </c>
      <c r="J1133">
        <v>46</v>
      </c>
      <c r="K1133">
        <f t="shared" si="51"/>
        <v>0</v>
      </c>
      <c r="L1133" s="4">
        <f t="shared" ca="1" si="52"/>
        <v>27</v>
      </c>
      <c r="M1133" t="str">
        <f t="shared" si="53"/>
        <v>Jan-2024</v>
      </c>
      <c r="N1133" t="s">
        <v>19</v>
      </c>
    </row>
    <row r="1134" spans="1:14" x14ac:dyDescent="0.25">
      <c r="A1134" t="s">
        <v>1162</v>
      </c>
      <c r="B1134" s="1">
        <v>45275</v>
      </c>
      <c r="D1134">
        <v>44</v>
      </c>
      <c r="E1134" t="s">
        <v>21</v>
      </c>
      <c r="F1134" t="s">
        <v>41</v>
      </c>
      <c r="G1134" t="s">
        <v>18</v>
      </c>
      <c r="H1134">
        <v>17578</v>
      </c>
      <c r="I1134">
        <v>22</v>
      </c>
      <c r="J1134">
        <v>81</v>
      </c>
      <c r="K1134">
        <f t="shared" si="51"/>
        <v>0</v>
      </c>
      <c r="L1134" s="4">
        <f t="shared" ca="1" si="52"/>
        <v>28</v>
      </c>
      <c r="M1134" t="str">
        <f t="shared" si="53"/>
        <v>Dec-2023</v>
      </c>
      <c r="N1134" t="s">
        <v>19</v>
      </c>
    </row>
    <row r="1135" spans="1:14" x14ac:dyDescent="0.25">
      <c r="A1135" t="s">
        <v>1163</v>
      </c>
      <c r="B1135" s="1">
        <v>45210</v>
      </c>
      <c r="D1135">
        <v>41</v>
      </c>
      <c r="E1135" t="s">
        <v>21</v>
      </c>
      <c r="F1135" t="s">
        <v>41</v>
      </c>
      <c r="G1135" t="s">
        <v>18</v>
      </c>
      <c r="H1135">
        <v>19975</v>
      </c>
      <c r="I1135">
        <v>25</v>
      </c>
      <c r="J1135">
        <v>55</v>
      </c>
      <c r="K1135">
        <f t="shared" si="51"/>
        <v>0</v>
      </c>
      <c r="L1135" s="4">
        <f t="shared" ca="1" si="52"/>
        <v>30</v>
      </c>
      <c r="M1135" t="str">
        <f t="shared" si="53"/>
        <v>Oct-2023</v>
      </c>
      <c r="N1135" t="s">
        <v>19</v>
      </c>
    </row>
    <row r="1136" spans="1:14" x14ac:dyDescent="0.25">
      <c r="A1136" t="s">
        <v>1164</v>
      </c>
      <c r="B1136" s="1">
        <v>45225</v>
      </c>
      <c r="D1136">
        <v>35</v>
      </c>
      <c r="E1136" t="s">
        <v>12</v>
      </c>
      <c r="F1136" t="s">
        <v>29</v>
      </c>
      <c r="G1136" t="s">
        <v>18</v>
      </c>
      <c r="H1136">
        <v>19176</v>
      </c>
      <c r="I1136">
        <v>24</v>
      </c>
      <c r="J1136">
        <v>90</v>
      </c>
      <c r="K1136">
        <f t="shared" si="51"/>
        <v>0</v>
      </c>
      <c r="L1136" s="4">
        <f t="shared" ca="1" si="52"/>
        <v>30</v>
      </c>
      <c r="M1136" t="str">
        <f t="shared" si="53"/>
        <v>Oct-2023</v>
      </c>
      <c r="N1136" t="s">
        <v>19</v>
      </c>
    </row>
    <row r="1137" spans="1:14" x14ac:dyDescent="0.25">
      <c r="A1137" t="s">
        <v>1165</v>
      </c>
      <c r="B1137" s="1">
        <v>45465</v>
      </c>
      <c r="D1137">
        <v>46</v>
      </c>
      <c r="E1137" t="s">
        <v>21</v>
      </c>
      <c r="F1137" t="s">
        <v>17</v>
      </c>
      <c r="G1137" t="s">
        <v>30</v>
      </c>
      <c r="H1137">
        <v>11984</v>
      </c>
      <c r="I1137">
        <v>16</v>
      </c>
      <c r="J1137">
        <v>73</v>
      </c>
      <c r="K1137">
        <f t="shared" si="51"/>
        <v>0</v>
      </c>
      <c r="L1137" s="4">
        <f t="shared" ca="1" si="52"/>
        <v>22</v>
      </c>
      <c r="M1137" t="str">
        <f t="shared" si="53"/>
        <v>Jun-2024</v>
      </c>
      <c r="N1137" t="s">
        <v>19</v>
      </c>
    </row>
    <row r="1138" spans="1:14" x14ac:dyDescent="0.25">
      <c r="A1138" t="s">
        <v>1166</v>
      </c>
      <c r="B1138" s="1">
        <v>45571</v>
      </c>
      <c r="D1138">
        <v>50</v>
      </c>
      <c r="E1138" t="s">
        <v>12</v>
      </c>
      <c r="F1138" t="s">
        <v>32</v>
      </c>
      <c r="G1138" t="s">
        <v>18</v>
      </c>
      <c r="H1138">
        <v>10387</v>
      </c>
      <c r="I1138">
        <v>13</v>
      </c>
      <c r="J1138">
        <v>71</v>
      </c>
      <c r="K1138">
        <f t="shared" si="51"/>
        <v>0</v>
      </c>
      <c r="L1138" s="4">
        <f t="shared" ca="1" si="52"/>
        <v>18</v>
      </c>
      <c r="M1138" t="str">
        <f t="shared" si="53"/>
        <v>Oct-2024</v>
      </c>
      <c r="N1138" t="s">
        <v>23</v>
      </c>
    </row>
    <row r="1139" spans="1:14" x14ac:dyDescent="0.25">
      <c r="A1139" t="s">
        <v>1167</v>
      </c>
      <c r="B1139" s="1">
        <v>44975</v>
      </c>
      <c r="D1139">
        <v>34</v>
      </c>
      <c r="E1139" t="s">
        <v>12</v>
      </c>
      <c r="F1139" t="s">
        <v>41</v>
      </c>
      <c r="G1139" t="s">
        <v>14</v>
      </c>
      <c r="H1139">
        <v>22368</v>
      </c>
      <c r="I1139">
        <v>32</v>
      </c>
      <c r="J1139">
        <v>73</v>
      </c>
      <c r="K1139">
        <f t="shared" si="51"/>
        <v>0</v>
      </c>
      <c r="L1139" s="4">
        <f t="shared" ca="1" si="52"/>
        <v>38</v>
      </c>
      <c r="M1139" t="str">
        <f t="shared" si="53"/>
        <v>Feb-2023</v>
      </c>
      <c r="N1139" t="s">
        <v>23</v>
      </c>
    </row>
    <row r="1140" spans="1:14" x14ac:dyDescent="0.25">
      <c r="A1140" t="s">
        <v>1168</v>
      </c>
      <c r="B1140" s="1">
        <v>45438</v>
      </c>
      <c r="D1140">
        <v>44</v>
      </c>
      <c r="E1140" t="s">
        <v>12</v>
      </c>
      <c r="F1140" t="s">
        <v>27</v>
      </c>
      <c r="G1140" t="s">
        <v>30</v>
      </c>
      <c r="H1140">
        <v>12733</v>
      </c>
      <c r="I1140">
        <v>17</v>
      </c>
      <c r="J1140">
        <v>50</v>
      </c>
      <c r="K1140">
        <f t="shared" si="51"/>
        <v>0</v>
      </c>
      <c r="L1140" s="4">
        <f t="shared" ca="1" si="52"/>
        <v>22</v>
      </c>
      <c r="M1140" t="str">
        <f t="shared" si="53"/>
        <v>May-2024</v>
      </c>
      <c r="N1140" t="s">
        <v>19</v>
      </c>
    </row>
    <row r="1141" spans="1:14" x14ac:dyDescent="0.25">
      <c r="A1141" t="s">
        <v>1169</v>
      </c>
      <c r="B1141" s="1">
        <v>45749</v>
      </c>
      <c r="D1141">
        <v>44</v>
      </c>
      <c r="E1141" t="s">
        <v>21</v>
      </c>
      <c r="F1141" t="s">
        <v>13</v>
      </c>
      <c r="G1141" t="s">
        <v>30</v>
      </c>
      <c r="H1141">
        <v>5243</v>
      </c>
      <c r="I1141">
        <v>7</v>
      </c>
      <c r="J1141">
        <v>50</v>
      </c>
      <c r="K1141">
        <f t="shared" si="51"/>
        <v>0</v>
      </c>
      <c r="L1141" s="4">
        <f t="shared" ca="1" si="52"/>
        <v>12</v>
      </c>
      <c r="M1141" t="str">
        <f t="shared" si="53"/>
        <v>Apr-2025</v>
      </c>
      <c r="N1141" t="s">
        <v>15</v>
      </c>
    </row>
    <row r="1142" spans="1:14" x14ac:dyDescent="0.25">
      <c r="A1142" t="s">
        <v>1170</v>
      </c>
      <c r="B1142" s="1">
        <v>45153</v>
      </c>
      <c r="C1142" s="1">
        <v>45663</v>
      </c>
      <c r="D1142">
        <v>18</v>
      </c>
      <c r="E1142" t="s">
        <v>12</v>
      </c>
      <c r="F1142" t="s">
        <v>29</v>
      </c>
      <c r="G1142" t="s">
        <v>18</v>
      </c>
      <c r="H1142">
        <v>13583</v>
      </c>
      <c r="I1142">
        <v>17</v>
      </c>
      <c r="J1142">
        <v>21</v>
      </c>
      <c r="K1142">
        <f t="shared" si="51"/>
        <v>1</v>
      </c>
      <c r="L1142" s="4">
        <f t="shared" ca="1" si="52"/>
        <v>17</v>
      </c>
      <c r="M1142" t="str">
        <f t="shared" si="53"/>
        <v>Aug-2023</v>
      </c>
      <c r="N1142" t="s">
        <v>15</v>
      </c>
    </row>
    <row r="1143" spans="1:14" x14ac:dyDescent="0.25">
      <c r="A1143" t="s">
        <v>1171</v>
      </c>
      <c r="B1143" s="1">
        <v>44902</v>
      </c>
      <c r="D1143">
        <v>48</v>
      </c>
      <c r="E1143" t="s">
        <v>12</v>
      </c>
      <c r="F1143" t="s">
        <v>41</v>
      </c>
      <c r="G1143" t="s">
        <v>18</v>
      </c>
      <c r="H1143">
        <v>27965</v>
      </c>
      <c r="I1143">
        <v>35</v>
      </c>
      <c r="J1143">
        <v>58</v>
      </c>
      <c r="K1143">
        <f t="shared" si="51"/>
        <v>0</v>
      </c>
      <c r="L1143" s="4">
        <f t="shared" ca="1" si="52"/>
        <v>40</v>
      </c>
      <c r="M1143" t="str">
        <f t="shared" si="53"/>
        <v>Dec-2022</v>
      </c>
      <c r="N1143" t="s">
        <v>19</v>
      </c>
    </row>
    <row r="1144" spans="1:14" x14ac:dyDescent="0.25">
      <c r="A1144" t="s">
        <v>1172</v>
      </c>
      <c r="B1144" s="1">
        <v>45888</v>
      </c>
      <c r="D1144">
        <v>55</v>
      </c>
      <c r="E1144" t="s">
        <v>12</v>
      </c>
      <c r="F1144" t="s">
        <v>27</v>
      </c>
      <c r="G1144" t="s">
        <v>14</v>
      </c>
      <c r="H1144">
        <v>1398</v>
      </c>
      <c r="I1144">
        <v>2</v>
      </c>
      <c r="J1144">
        <v>73</v>
      </c>
      <c r="K1144">
        <f t="shared" si="51"/>
        <v>0</v>
      </c>
      <c r="L1144" s="4">
        <f t="shared" ca="1" si="52"/>
        <v>7</v>
      </c>
      <c r="M1144" t="str">
        <f t="shared" si="53"/>
        <v>Aug-2025</v>
      </c>
      <c r="N1144" t="s">
        <v>19</v>
      </c>
    </row>
    <row r="1145" spans="1:14" x14ac:dyDescent="0.25">
      <c r="A1145" t="s">
        <v>1173</v>
      </c>
      <c r="B1145" s="1">
        <v>45424</v>
      </c>
      <c r="D1145">
        <v>46</v>
      </c>
      <c r="E1145" t="s">
        <v>12</v>
      </c>
      <c r="F1145" t="s">
        <v>13</v>
      </c>
      <c r="G1145" t="s">
        <v>18</v>
      </c>
      <c r="H1145">
        <v>13583</v>
      </c>
      <c r="I1145">
        <v>17</v>
      </c>
      <c r="J1145">
        <v>52</v>
      </c>
      <c r="K1145">
        <f t="shared" si="51"/>
        <v>0</v>
      </c>
      <c r="L1145" s="4">
        <f t="shared" ca="1" si="52"/>
        <v>23</v>
      </c>
      <c r="M1145" t="str">
        <f t="shared" si="53"/>
        <v>May-2024</v>
      </c>
      <c r="N1145" t="s">
        <v>19</v>
      </c>
    </row>
    <row r="1146" spans="1:14" x14ac:dyDescent="0.25">
      <c r="A1146" t="s">
        <v>1174</v>
      </c>
      <c r="B1146" s="1">
        <v>45445</v>
      </c>
      <c r="D1146">
        <v>60</v>
      </c>
      <c r="E1146" t="s">
        <v>12</v>
      </c>
      <c r="F1146" t="s">
        <v>27</v>
      </c>
      <c r="G1146" t="s">
        <v>18</v>
      </c>
      <c r="H1146">
        <v>13583</v>
      </c>
      <c r="I1146">
        <v>17</v>
      </c>
      <c r="J1146">
        <v>24</v>
      </c>
      <c r="K1146">
        <f t="shared" si="51"/>
        <v>0</v>
      </c>
      <c r="L1146" s="4">
        <f t="shared" ca="1" si="52"/>
        <v>22</v>
      </c>
      <c r="M1146" t="str">
        <f t="shared" si="53"/>
        <v>Jun-2024</v>
      </c>
      <c r="N1146" t="s">
        <v>19</v>
      </c>
    </row>
    <row r="1147" spans="1:14" x14ac:dyDescent="0.25">
      <c r="A1147" t="s">
        <v>1175</v>
      </c>
      <c r="B1147" s="1">
        <v>45737</v>
      </c>
      <c r="D1147">
        <v>28</v>
      </c>
      <c r="E1147" t="s">
        <v>21</v>
      </c>
      <c r="F1147" t="s">
        <v>13</v>
      </c>
      <c r="G1147" t="s">
        <v>30</v>
      </c>
      <c r="H1147">
        <v>5243</v>
      </c>
      <c r="I1147">
        <v>7</v>
      </c>
      <c r="J1147">
        <v>71</v>
      </c>
      <c r="K1147">
        <f t="shared" si="51"/>
        <v>0</v>
      </c>
      <c r="L1147" s="4">
        <f t="shared" ca="1" si="52"/>
        <v>12</v>
      </c>
      <c r="M1147" t="str">
        <f t="shared" si="53"/>
        <v>Mar-2025</v>
      </c>
      <c r="N1147" t="s">
        <v>19</v>
      </c>
    </row>
    <row r="1148" spans="1:14" x14ac:dyDescent="0.25">
      <c r="A1148" t="s">
        <v>1176</v>
      </c>
      <c r="B1148" s="1">
        <v>45174</v>
      </c>
      <c r="D1148">
        <v>37</v>
      </c>
      <c r="E1148" t="s">
        <v>21</v>
      </c>
      <c r="F1148" t="s">
        <v>38</v>
      </c>
      <c r="G1148" t="s">
        <v>18</v>
      </c>
      <c r="H1148">
        <v>20774</v>
      </c>
      <c r="I1148">
        <v>26</v>
      </c>
      <c r="J1148">
        <v>71</v>
      </c>
      <c r="K1148">
        <f t="shared" si="51"/>
        <v>0</v>
      </c>
      <c r="L1148" s="4">
        <f t="shared" ca="1" si="52"/>
        <v>31</v>
      </c>
      <c r="M1148" t="str">
        <f t="shared" si="53"/>
        <v>Sep-2023</v>
      </c>
      <c r="N1148" t="s">
        <v>25</v>
      </c>
    </row>
    <row r="1149" spans="1:14" x14ac:dyDescent="0.25">
      <c r="A1149" t="s">
        <v>1177</v>
      </c>
      <c r="B1149" s="1">
        <v>44897</v>
      </c>
      <c r="D1149">
        <v>51</v>
      </c>
      <c r="E1149" t="s">
        <v>12</v>
      </c>
      <c r="F1149" t="s">
        <v>29</v>
      </c>
      <c r="G1149" t="s">
        <v>18</v>
      </c>
      <c r="H1149">
        <v>27965</v>
      </c>
      <c r="I1149">
        <v>35</v>
      </c>
      <c r="J1149">
        <v>50</v>
      </c>
      <c r="K1149">
        <f t="shared" si="51"/>
        <v>0</v>
      </c>
      <c r="L1149" s="4">
        <f t="shared" ca="1" si="52"/>
        <v>40</v>
      </c>
      <c r="M1149" t="str">
        <f t="shared" si="53"/>
        <v>Dec-2022</v>
      </c>
      <c r="N1149" t="s">
        <v>23</v>
      </c>
    </row>
    <row r="1150" spans="1:14" x14ac:dyDescent="0.25">
      <c r="A1150" t="s">
        <v>1178</v>
      </c>
      <c r="B1150" s="1">
        <v>45446</v>
      </c>
      <c r="D1150">
        <v>24</v>
      </c>
      <c r="E1150" t="s">
        <v>12</v>
      </c>
      <c r="F1150" t="s">
        <v>29</v>
      </c>
      <c r="G1150" t="s">
        <v>18</v>
      </c>
      <c r="H1150">
        <v>13583</v>
      </c>
      <c r="I1150">
        <v>17</v>
      </c>
      <c r="J1150">
        <v>52</v>
      </c>
      <c r="K1150">
        <f t="shared" si="51"/>
        <v>0</v>
      </c>
      <c r="L1150" s="4">
        <f t="shared" ca="1" si="52"/>
        <v>22</v>
      </c>
      <c r="M1150" t="str">
        <f t="shared" si="53"/>
        <v>Jun-2024</v>
      </c>
      <c r="N1150" t="s">
        <v>25</v>
      </c>
    </row>
    <row r="1151" spans="1:14" x14ac:dyDescent="0.25">
      <c r="A1151" t="s">
        <v>1179</v>
      </c>
      <c r="B1151" s="1">
        <v>45741</v>
      </c>
      <c r="D1151">
        <v>45</v>
      </c>
      <c r="E1151" t="s">
        <v>12</v>
      </c>
      <c r="F1151" t="s">
        <v>47</v>
      </c>
      <c r="G1151" t="s">
        <v>18</v>
      </c>
      <c r="H1151">
        <v>5593</v>
      </c>
      <c r="I1151">
        <v>7</v>
      </c>
      <c r="J1151">
        <v>75</v>
      </c>
      <c r="K1151">
        <f t="shared" si="51"/>
        <v>0</v>
      </c>
      <c r="L1151" s="4">
        <f t="shared" ca="1" si="52"/>
        <v>12</v>
      </c>
      <c r="M1151" t="str">
        <f t="shared" si="53"/>
        <v>Mar-2025</v>
      </c>
      <c r="N1151" t="s">
        <v>19</v>
      </c>
    </row>
    <row r="1152" spans="1:14" x14ac:dyDescent="0.25">
      <c r="A1152" t="s">
        <v>1180</v>
      </c>
      <c r="B1152" s="1">
        <v>44915</v>
      </c>
      <c r="D1152">
        <v>30</v>
      </c>
      <c r="E1152" t="s">
        <v>12</v>
      </c>
      <c r="F1152" t="s">
        <v>57</v>
      </c>
      <c r="G1152" t="s">
        <v>18</v>
      </c>
      <c r="H1152">
        <v>27166</v>
      </c>
      <c r="I1152">
        <v>34</v>
      </c>
      <c r="J1152">
        <v>43</v>
      </c>
      <c r="K1152">
        <f t="shared" si="51"/>
        <v>0</v>
      </c>
      <c r="L1152" s="4">
        <f t="shared" ca="1" si="52"/>
        <v>40</v>
      </c>
      <c r="M1152" t="str">
        <f t="shared" si="53"/>
        <v>Dec-2022</v>
      </c>
      <c r="N1152" t="s">
        <v>15</v>
      </c>
    </row>
    <row r="1153" spans="1:14" x14ac:dyDescent="0.25">
      <c r="A1153" t="s">
        <v>1181</v>
      </c>
      <c r="B1153" s="1">
        <v>44883</v>
      </c>
      <c r="C1153" s="1">
        <v>45003</v>
      </c>
      <c r="D1153">
        <v>19</v>
      </c>
      <c r="E1153" t="s">
        <v>21</v>
      </c>
      <c r="F1153" t="s">
        <v>47</v>
      </c>
      <c r="G1153" t="s">
        <v>30</v>
      </c>
      <c r="H1153">
        <v>2996</v>
      </c>
      <c r="I1153">
        <v>4</v>
      </c>
      <c r="J1153">
        <v>66</v>
      </c>
      <c r="K1153">
        <f t="shared" si="51"/>
        <v>1</v>
      </c>
      <c r="L1153" s="4">
        <f t="shared" ca="1" si="52"/>
        <v>4</v>
      </c>
      <c r="M1153" t="str">
        <f t="shared" si="53"/>
        <v>Nov-2022</v>
      </c>
      <c r="N1153" t="s">
        <v>19</v>
      </c>
    </row>
    <row r="1154" spans="1:14" x14ac:dyDescent="0.25">
      <c r="A1154" t="s">
        <v>1182</v>
      </c>
      <c r="B1154" s="1">
        <v>45225</v>
      </c>
      <c r="D1154">
        <v>25</v>
      </c>
      <c r="E1154" t="s">
        <v>21</v>
      </c>
      <c r="F1154" t="s">
        <v>29</v>
      </c>
      <c r="G1154" t="s">
        <v>18</v>
      </c>
      <c r="H1154">
        <v>19176</v>
      </c>
      <c r="I1154">
        <v>24</v>
      </c>
      <c r="J1154">
        <v>40</v>
      </c>
      <c r="K1154">
        <f t="shared" si="51"/>
        <v>0</v>
      </c>
      <c r="L1154" s="4">
        <f t="shared" ca="1" si="52"/>
        <v>30</v>
      </c>
      <c r="M1154" t="str">
        <f t="shared" si="53"/>
        <v>Oct-2023</v>
      </c>
      <c r="N1154" t="s">
        <v>19</v>
      </c>
    </row>
    <row r="1155" spans="1:14" x14ac:dyDescent="0.25">
      <c r="A1155" t="s">
        <v>1183</v>
      </c>
      <c r="B1155" s="1">
        <v>45402</v>
      </c>
      <c r="D1155">
        <v>31</v>
      </c>
      <c r="E1155" t="s">
        <v>12</v>
      </c>
      <c r="F1155" t="s">
        <v>32</v>
      </c>
      <c r="G1155" t="s">
        <v>18</v>
      </c>
      <c r="H1155">
        <v>14382</v>
      </c>
      <c r="I1155">
        <v>18</v>
      </c>
      <c r="J1155">
        <v>57</v>
      </c>
      <c r="K1155">
        <f t="shared" ref="K1155:K1201" si="54">IF(ISBLANK(C1155), 0, 1)</f>
        <v>0</v>
      </c>
      <c r="L1155" s="4">
        <f t="shared" ref="L1155:L1201" ca="1" si="55">ROUNDUP(DATEDIF(B1155, IF(ISBLANK(C1155), TODAY(), C1155), "d")/30, 0)</f>
        <v>24</v>
      </c>
      <c r="M1155" t="str">
        <f t="shared" ref="M1155:M1201" si="56">TEXT(B1155, "mmm-yyyy")</f>
        <v>Apr-2024</v>
      </c>
      <c r="N1155" t="s">
        <v>15</v>
      </c>
    </row>
    <row r="1156" spans="1:14" x14ac:dyDescent="0.25">
      <c r="A1156" t="s">
        <v>1184</v>
      </c>
      <c r="B1156" s="1">
        <v>45346</v>
      </c>
      <c r="C1156" s="1">
        <v>45886</v>
      </c>
      <c r="D1156">
        <v>22</v>
      </c>
      <c r="E1156" t="s">
        <v>21</v>
      </c>
      <c r="F1156" t="s">
        <v>32</v>
      </c>
      <c r="G1156" t="s">
        <v>30</v>
      </c>
      <c r="H1156">
        <v>13482</v>
      </c>
      <c r="I1156">
        <v>18</v>
      </c>
      <c r="J1156">
        <v>76</v>
      </c>
      <c r="K1156">
        <f t="shared" si="54"/>
        <v>1</v>
      </c>
      <c r="L1156" s="4">
        <f t="shared" ca="1" si="55"/>
        <v>18</v>
      </c>
      <c r="M1156" t="str">
        <f t="shared" si="56"/>
        <v>Feb-2024</v>
      </c>
      <c r="N1156" t="s">
        <v>19</v>
      </c>
    </row>
    <row r="1157" spans="1:14" x14ac:dyDescent="0.25">
      <c r="A1157" t="s">
        <v>1185</v>
      </c>
      <c r="B1157" s="1">
        <v>45309</v>
      </c>
      <c r="D1157">
        <v>59</v>
      </c>
      <c r="E1157" t="s">
        <v>21</v>
      </c>
      <c r="F1157" t="s">
        <v>32</v>
      </c>
      <c r="G1157" t="s">
        <v>18</v>
      </c>
      <c r="H1157">
        <v>16779</v>
      </c>
      <c r="I1157">
        <v>21</v>
      </c>
      <c r="J1157">
        <v>88</v>
      </c>
      <c r="K1157">
        <f t="shared" si="54"/>
        <v>0</v>
      </c>
      <c r="L1157" s="4">
        <f t="shared" ca="1" si="55"/>
        <v>27</v>
      </c>
      <c r="M1157" t="str">
        <f t="shared" si="56"/>
        <v>Jan-2024</v>
      </c>
      <c r="N1157" t="s">
        <v>19</v>
      </c>
    </row>
    <row r="1158" spans="1:14" x14ac:dyDescent="0.25">
      <c r="A1158" t="s">
        <v>1186</v>
      </c>
      <c r="B1158" s="1">
        <v>45514</v>
      </c>
      <c r="D1158">
        <v>33</v>
      </c>
      <c r="E1158" t="s">
        <v>21</v>
      </c>
      <c r="F1158" t="s">
        <v>22</v>
      </c>
      <c r="G1158" t="s">
        <v>18</v>
      </c>
      <c r="H1158">
        <v>11186</v>
      </c>
      <c r="I1158">
        <v>14</v>
      </c>
      <c r="J1158">
        <v>89</v>
      </c>
      <c r="K1158">
        <f t="shared" si="54"/>
        <v>0</v>
      </c>
      <c r="L1158" s="4">
        <f t="shared" ca="1" si="55"/>
        <v>20</v>
      </c>
      <c r="M1158" t="str">
        <f t="shared" si="56"/>
        <v>Aug-2024</v>
      </c>
      <c r="N1158" t="s">
        <v>15</v>
      </c>
    </row>
    <row r="1159" spans="1:14" x14ac:dyDescent="0.25">
      <c r="A1159" t="s">
        <v>1187</v>
      </c>
      <c r="B1159" s="1">
        <v>45143</v>
      </c>
      <c r="D1159">
        <v>57</v>
      </c>
      <c r="E1159" t="s">
        <v>12</v>
      </c>
      <c r="F1159" t="s">
        <v>41</v>
      </c>
      <c r="G1159" t="s">
        <v>18</v>
      </c>
      <c r="H1159">
        <v>21573</v>
      </c>
      <c r="I1159">
        <v>27</v>
      </c>
      <c r="J1159">
        <v>30</v>
      </c>
      <c r="K1159">
        <f t="shared" si="54"/>
        <v>0</v>
      </c>
      <c r="L1159" s="4">
        <f t="shared" ca="1" si="55"/>
        <v>32</v>
      </c>
      <c r="M1159" t="str">
        <f t="shared" si="56"/>
        <v>Aug-2023</v>
      </c>
      <c r="N1159" t="s">
        <v>25</v>
      </c>
    </row>
    <row r="1160" spans="1:14" x14ac:dyDescent="0.25">
      <c r="A1160" t="s">
        <v>1188</v>
      </c>
      <c r="B1160" s="1">
        <v>44870</v>
      </c>
      <c r="C1160" s="1">
        <v>45140</v>
      </c>
      <c r="D1160">
        <v>41</v>
      </c>
      <c r="E1160" t="s">
        <v>21</v>
      </c>
      <c r="F1160" t="s">
        <v>22</v>
      </c>
      <c r="G1160" t="s">
        <v>30</v>
      </c>
      <c r="H1160">
        <v>6741</v>
      </c>
      <c r="I1160">
        <v>9</v>
      </c>
      <c r="J1160">
        <v>37</v>
      </c>
      <c r="K1160">
        <f t="shared" si="54"/>
        <v>1</v>
      </c>
      <c r="L1160" s="4">
        <f t="shared" ca="1" si="55"/>
        <v>9</v>
      </c>
      <c r="M1160" t="str">
        <f t="shared" si="56"/>
        <v>Nov-2022</v>
      </c>
      <c r="N1160" t="s">
        <v>25</v>
      </c>
    </row>
    <row r="1161" spans="1:14" x14ac:dyDescent="0.25">
      <c r="A1161" t="s">
        <v>1189</v>
      </c>
      <c r="B1161" s="1">
        <v>45751</v>
      </c>
      <c r="D1161">
        <v>55</v>
      </c>
      <c r="E1161" t="s">
        <v>21</v>
      </c>
      <c r="F1161" t="s">
        <v>29</v>
      </c>
      <c r="G1161" t="s">
        <v>18</v>
      </c>
      <c r="H1161">
        <v>5593</v>
      </c>
      <c r="I1161">
        <v>7</v>
      </c>
      <c r="J1161">
        <v>66</v>
      </c>
      <c r="K1161">
        <f t="shared" si="54"/>
        <v>0</v>
      </c>
      <c r="L1161" s="4">
        <f t="shared" ca="1" si="55"/>
        <v>12</v>
      </c>
      <c r="M1161" t="str">
        <f t="shared" si="56"/>
        <v>Apr-2025</v>
      </c>
      <c r="N1161" t="s">
        <v>23</v>
      </c>
    </row>
    <row r="1162" spans="1:14" x14ac:dyDescent="0.25">
      <c r="A1162" t="s">
        <v>1190</v>
      </c>
      <c r="B1162" s="1">
        <v>45151</v>
      </c>
      <c r="D1162">
        <v>33</v>
      </c>
      <c r="E1162" t="s">
        <v>21</v>
      </c>
      <c r="F1162" t="s">
        <v>32</v>
      </c>
      <c r="G1162" t="s">
        <v>30</v>
      </c>
      <c r="H1162">
        <v>20223</v>
      </c>
      <c r="I1162">
        <v>27</v>
      </c>
      <c r="J1162">
        <v>53</v>
      </c>
      <c r="K1162">
        <f t="shared" si="54"/>
        <v>0</v>
      </c>
      <c r="L1162" s="4">
        <f t="shared" ca="1" si="55"/>
        <v>32</v>
      </c>
      <c r="M1162" t="str">
        <f t="shared" si="56"/>
        <v>Aug-2023</v>
      </c>
      <c r="N1162" t="s">
        <v>25</v>
      </c>
    </row>
    <row r="1163" spans="1:14" x14ac:dyDescent="0.25">
      <c r="A1163" t="s">
        <v>1191</v>
      </c>
      <c r="B1163" s="1">
        <v>45525</v>
      </c>
      <c r="D1163">
        <v>23</v>
      </c>
      <c r="E1163" t="s">
        <v>21</v>
      </c>
      <c r="F1163" t="s">
        <v>13</v>
      </c>
      <c r="G1163" t="s">
        <v>18</v>
      </c>
      <c r="H1163">
        <v>11186</v>
      </c>
      <c r="I1163">
        <v>14</v>
      </c>
      <c r="J1163">
        <v>66</v>
      </c>
      <c r="K1163">
        <f t="shared" si="54"/>
        <v>0</v>
      </c>
      <c r="L1163" s="4">
        <f t="shared" ca="1" si="55"/>
        <v>20</v>
      </c>
      <c r="M1163" t="str">
        <f t="shared" si="56"/>
        <v>Aug-2024</v>
      </c>
      <c r="N1163" t="s">
        <v>19</v>
      </c>
    </row>
    <row r="1164" spans="1:14" x14ac:dyDescent="0.25">
      <c r="A1164" t="s">
        <v>1192</v>
      </c>
      <c r="B1164" s="1">
        <v>45442</v>
      </c>
      <c r="C1164" s="1">
        <v>45802</v>
      </c>
      <c r="D1164">
        <v>51</v>
      </c>
      <c r="E1164" t="s">
        <v>12</v>
      </c>
      <c r="F1164" t="s">
        <v>47</v>
      </c>
      <c r="G1164" t="s">
        <v>18</v>
      </c>
      <c r="H1164">
        <v>9588</v>
      </c>
      <c r="I1164">
        <v>12</v>
      </c>
      <c r="J1164">
        <v>75</v>
      </c>
      <c r="K1164">
        <f t="shared" si="54"/>
        <v>1</v>
      </c>
      <c r="L1164" s="4">
        <f t="shared" ca="1" si="55"/>
        <v>12</v>
      </c>
      <c r="M1164" t="str">
        <f t="shared" si="56"/>
        <v>May-2024</v>
      </c>
      <c r="N1164" t="s">
        <v>19</v>
      </c>
    </row>
    <row r="1165" spans="1:14" x14ac:dyDescent="0.25">
      <c r="A1165" t="s">
        <v>1193</v>
      </c>
      <c r="B1165" s="1">
        <v>45521</v>
      </c>
      <c r="C1165" s="1">
        <v>45581</v>
      </c>
      <c r="D1165">
        <v>55</v>
      </c>
      <c r="E1165" t="s">
        <v>21</v>
      </c>
      <c r="F1165" t="s">
        <v>17</v>
      </c>
      <c r="G1165" t="s">
        <v>30</v>
      </c>
      <c r="H1165">
        <v>1498</v>
      </c>
      <c r="I1165">
        <v>2</v>
      </c>
      <c r="J1165">
        <v>63</v>
      </c>
      <c r="K1165">
        <f t="shared" si="54"/>
        <v>1</v>
      </c>
      <c r="L1165" s="4">
        <f t="shared" ca="1" si="55"/>
        <v>2</v>
      </c>
      <c r="M1165" t="str">
        <f t="shared" si="56"/>
        <v>Aug-2024</v>
      </c>
      <c r="N1165" t="s">
        <v>19</v>
      </c>
    </row>
    <row r="1166" spans="1:14" x14ac:dyDescent="0.25">
      <c r="A1166" t="s">
        <v>1194</v>
      </c>
      <c r="B1166" s="1">
        <v>45517</v>
      </c>
      <c r="D1166">
        <v>30</v>
      </c>
      <c r="E1166" t="s">
        <v>12</v>
      </c>
      <c r="F1166" t="s">
        <v>27</v>
      </c>
      <c r="G1166" t="s">
        <v>18</v>
      </c>
      <c r="H1166">
        <v>11186</v>
      </c>
      <c r="I1166">
        <v>14</v>
      </c>
      <c r="J1166">
        <v>41</v>
      </c>
      <c r="K1166">
        <f t="shared" si="54"/>
        <v>0</v>
      </c>
      <c r="L1166" s="4">
        <f t="shared" ca="1" si="55"/>
        <v>20</v>
      </c>
      <c r="M1166" t="str">
        <f t="shared" si="56"/>
        <v>Aug-2024</v>
      </c>
      <c r="N1166" t="s">
        <v>19</v>
      </c>
    </row>
    <row r="1167" spans="1:14" x14ac:dyDescent="0.25">
      <c r="A1167" t="s">
        <v>1195</v>
      </c>
      <c r="B1167" s="1">
        <v>44929</v>
      </c>
      <c r="D1167">
        <v>20</v>
      </c>
      <c r="E1167" t="s">
        <v>21</v>
      </c>
      <c r="F1167" t="s">
        <v>57</v>
      </c>
      <c r="G1167" t="s">
        <v>18</v>
      </c>
      <c r="H1167">
        <v>27166</v>
      </c>
      <c r="I1167">
        <v>34</v>
      </c>
      <c r="J1167">
        <v>67</v>
      </c>
      <c r="K1167">
        <f t="shared" si="54"/>
        <v>0</v>
      </c>
      <c r="L1167" s="4">
        <f t="shared" ca="1" si="55"/>
        <v>39</v>
      </c>
      <c r="M1167" t="str">
        <f t="shared" si="56"/>
        <v>Jan-2023</v>
      </c>
      <c r="N1167" t="s">
        <v>19</v>
      </c>
    </row>
    <row r="1168" spans="1:14" x14ac:dyDescent="0.25">
      <c r="A1168" t="s">
        <v>1196</v>
      </c>
      <c r="B1168" s="1">
        <v>45583</v>
      </c>
      <c r="D1168">
        <v>37</v>
      </c>
      <c r="E1168" t="s">
        <v>21</v>
      </c>
      <c r="F1168" t="s">
        <v>29</v>
      </c>
      <c r="G1168" t="s">
        <v>18</v>
      </c>
      <c r="H1168">
        <v>9588</v>
      </c>
      <c r="I1168">
        <v>12</v>
      </c>
      <c r="J1168">
        <v>74</v>
      </c>
      <c r="K1168">
        <f t="shared" si="54"/>
        <v>0</v>
      </c>
      <c r="L1168" s="4">
        <f t="shared" ca="1" si="55"/>
        <v>18</v>
      </c>
      <c r="M1168" t="str">
        <f t="shared" si="56"/>
        <v>Oct-2024</v>
      </c>
      <c r="N1168" t="s">
        <v>23</v>
      </c>
    </row>
    <row r="1169" spans="1:14" x14ac:dyDescent="0.25">
      <c r="A1169" t="s">
        <v>1197</v>
      </c>
      <c r="B1169" s="1">
        <v>45743</v>
      </c>
      <c r="D1169">
        <v>44</v>
      </c>
      <c r="E1169" t="s">
        <v>21</v>
      </c>
      <c r="F1169" t="s">
        <v>32</v>
      </c>
      <c r="G1169" t="s">
        <v>30</v>
      </c>
      <c r="H1169">
        <v>5243</v>
      </c>
      <c r="I1169">
        <v>7</v>
      </c>
      <c r="J1169">
        <v>41</v>
      </c>
      <c r="K1169">
        <f t="shared" si="54"/>
        <v>0</v>
      </c>
      <c r="L1169" s="4">
        <f t="shared" ca="1" si="55"/>
        <v>12</v>
      </c>
      <c r="M1169" t="str">
        <f t="shared" si="56"/>
        <v>Mar-2025</v>
      </c>
      <c r="N1169" t="s">
        <v>23</v>
      </c>
    </row>
    <row r="1170" spans="1:14" x14ac:dyDescent="0.25">
      <c r="A1170" t="s">
        <v>1198</v>
      </c>
      <c r="B1170" s="1">
        <v>45041</v>
      </c>
      <c r="D1170">
        <v>48</v>
      </c>
      <c r="E1170" t="s">
        <v>21</v>
      </c>
      <c r="F1170" t="s">
        <v>27</v>
      </c>
      <c r="G1170" t="s">
        <v>18</v>
      </c>
      <c r="H1170">
        <v>23970</v>
      </c>
      <c r="I1170">
        <v>30</v>
      </c>
      <c r="J1170">
        <v>47</v>
      </c>
      <c r="K1170">
        <f t="shared" si="54"/>
        <v>0</v>
      </c>
      <c r="L1170" s="4">
        <f t="shared" ca="1" si="55"/>
        <v>36</v>
      </c>
      <c r="M1170" t="str">
        <f t="shared" si="56"/>
        <v>Apr-2023</v>
      </c>
      <c r="N1170" t="s">
        <v>19</v>
      </c>
    </row>
    <row r="1171" spans="1:14" x14ac:dyDescent="0.25">
      <c r="A1171" t="s">
        <v>1199</v>
      </c>
      <c r="B1171" s="1">
        <v>44913</v>
      </c>
      <c r="D1171">
        <v>54</v>
      </c>
      <c r="E1171" t="s">
        <v>12</v>
      </c>
      <c r="F1171" t="s">
        <v>22</v>
      </c>
      <c r="G1171" t="s">
        <v>18</v>
      </c>
      <c r="H1171">
        <v>27166</v>
      </c>
      <c r="I1171">
        <v>34</v>
      </c>
      <c r="J1171">
        <v>63</v>
      </c>
      <c r="K1171">
        <f t="shared" si="54"/>
        <v>0</v>
      </c>
      <c r="L1171" s="4">
        <f t="shared" ca="1" si="55"/>
        <v>40</v>
      </c>
      <c r="M1171" t="str">
        <f t="shared" si="56"/>
        <v>Dec-2022</v>
      </c>
      <c r="N1171" t="s">
        <v>23</v>
      </c>
    </row>
    <row r="1172" spans="1:14" x14ac:dyDescent="0.25">
      <c r="A1172" t="s">
        <v>1200</v>
      </c>
      <c r="B1172" s="1">
        <v>45723</v>
      </c>
      <c r="D1172">
        <v>35</v>
      </c>
      <c r="E1172" t="s">
        <v>12</v>
      </c>
      <c r="F1172" t="s">
        <v>47</v>
      </c>
      <c r="G1172" t="s">
        <v>30</v>
      </c>
      <c r="H1172">
        <v>5243</v>
      </c>
      <c r="I1172">
        <v>7</v>
      </c>
      <c r="J1172">
        <v>88</v>
      </c>
      <c r="K1172">
        <f t="shared" si="54"/>
        <v>0</v>
      </c>
      <c r="L1172" s="4">
        <f t="shared" ca="1" si="55"/>
        <v>13</v>
      </c>
      <c r="M1172" t="str">
        <f t="shared" si="56"/>
        <v>Mar-2025</v>
      </c>
      <c r="N1172" t="s">
        <v>19</v>
      </c>
    </row>
    <row r="1173" spans="1:14" x14ac:dyDescent="0.25">
      <c r="A1173" t="s">
        <v>1201</v>
      </c>
      <c r="B1173" s="1">
        <v>45115</v>
      </c>
      <c r="D1173">
        <v>54</v>
      </c>
      <c r="E1173" t="s">
        <v>21</v>
      </c>
      <c r="F1173" t="s">
        <v>17</v>
      </c>
      <c r="G1173" t="s">
        <v>18</v>
      </c>
      <c r="H1173">
        <v>22372</v>
      </c>
      <c r="I1173">
        <v>28</v>
      </c>
      <c r="J1173">
        <v>61</v>
      </c>
      <c r="K1173">
        <f t="shared" si="54"/>
        <v>0</v>
      </c>
      <c r="L1173" s="4">
        <f t="shared" ca="1" si="55"/>
        <v>33</v>
      </c>
      <c r="M1173" t="str">
        <f t="shared" si="56"/>
        <v>Jul-2023</v>
      </c>
      <c r="N1173" t="s">
        <v>23</v>
      </c>
    </row>
    <row r="1174" spans="1:14" x14ac:dyDescent="0.25">
      <c r="A1174" t="s">
        <v>1202</v>
      </c>
      <c r="B1174" s="1">
        <v>45500</v>
      </c>
      <c r="D1174">
        <v>57</v>
      </c>
      <c r="E1174" t="s">
        <v>12</v>
      </c>
      <c r="F1174" t="s">
        <v>57</v>
      </c>
      <c r="G1174" t="s">
        <v>30</v>
      </c>
      <c r="H1174">
        <v>11235</v>
      </c>
      <c r="I1174">
        <v>15</v>
      </c>
      <c r="J1174">
        <v>72</v>
      </c>
      <c r="K1174">
        <f t="shared" si="54"/>
        <v>0</v>
      </c>
      <c r="L1174" s="4">
        <f t="shared" ca="1" si="55"/>
        <v>20</v>
      </c>
      <c r="M1174" t="str">
        <f t="shared" si="56"/>
        <v>Jul-2024</v>
      </c>
      <c r="N1174" t="s">
        <v>23</v>
      </c>
    </row>
    <row r="1175" spans="1:14" x14ac:dyDescent="0.25">
      <c r="A1175" t="s">
        <v>1203</v>
      </c>
      <c r="B1175" s="1">
        <v>45938</v>
      </c>
      <c r="D1175">
        <v>49</v>
      </c>
      <c r="E1175" t="s">
        <v>12</v>
      </c>
      <c r="F1175" t="s">
        <v>57</v>
      </c>
      <c r="G1175" t="s">
        <v>18</v>
      </c>
      <c r="H1175">
        <v>799</v>
      </c>
      <c r="I1175">
        <v>1</v>
      </c>
      <c r="J1175">
        <v>34</v>
      </c>
      <c r="K1175">
        <f t="shared" si="54"/>
        <v>0</v>
      </c>
      <c r="L1175" s="4">
        <f t="shared" ca="1" si="55"/>
        <v>6</v>
      </c>
      <c r="M1175" t="str">
        <f t="shared" si="56"/>
        <v>Oct-2025</v>
      </c>
      <c r="N1175" t="s">
        <v>19</v>
      </c>
    </row>
    <row r="1176" spans="1:14" x14ac:dyDescent="0.25">
      <c r="A1176" t="s">
        <v>1204</v>
      </c>
      <c r="B1176" s="1">
        <v>45824</v>
      </c>
      <c r="D1176">
        <v>42</v>
      </c>
      <c r="E1176" t="s">
        <v>21</v>
      </c>
      <c r="F1176" t="s">
        <v>22</v>
      </c>
      <c r="G1176" t="s">
        <v>30</v>
      </c>
      <c r="H1176">
        <v>2996</v>
      </c>
      <c r="I1176">
        <v>4</v>
      </c>
      <c r="J1176">
        <v>92</v>
      </c>
      <c r="K1176">
        <f t="shared" si="54"/>
        <v>0</v>
      </c>
      <c r="L1176" s="4">
        <f t="shared" ca="1" si="55"/>
        <v>10</v>
      </c>
      <c r="M1176" t="str">
        <f t="shared" si="56"/>
        <v>Jun-2025</v>
      </c>
      <c r="N1176" t="s">
        <v>19</v>
      </c>
    </row>
    <row r="1177" spans="1:14" x14ac:dyDescent="0.25">
      <c r="A1177" t="s">
        <v>1205</v>
      </c>
      <c r="B1177" s="1">
        <v>45606</v>
      </c>
      <c r="D1177">
        <v>35</v>
      </c>
      <c r="E1177" t="s">
        <v>12</v>
      </c>
      <c r="F1177" t="s">
        <v>57</v>
      </c>
      <c r="G1177" t="s">
        <v>18</v>
      </c>
      <c r="H1177">
        <v>8789</v>
      </c>
      <c r="I1177">
        <v>11</v>
      </c>
      <c r="J1177">
        <v>29</v>
      </c>
      <c r="K1177">
        <f t="shared" si="54"/>
        <v>0</v>
      </c>
      <c r="L1177" s="4">
        <f t="shared" ca="1" si="55"/>
        <v>17</v>
      </c>
      <c r="M1177" t="str">
        <f t="shared" si="56"/>
        <v>Nov-2024</v>
      </c>
      <c r="N1177" t="s">
        <v>23</v>
      </c>
    </row>
    <row r="1178" spans="1:14" x14ac:dyDescent="0.25">
      <c r="A1178" t="s">
        <v>1206</v>
      </c>
      <c r="B1178" s="1">
        <v>45238</v>
      </c>
      <c r="C1178" s="1">
        <v>45448</v>
      </c>
      <c r="D1178">
        <v>52</v>
      </c>
      <c r="E1178" t="s">
        <v>12</v>
      </c>
      <c r="F1178" t="s">
        <v>27</v>
      </c>
      <c r="G1178" t="s">
        <v>18</v>
      </c>
      <c r="H1178">
        <v>5593</v>
      </c>
      <c r="I1178">
        <v>7</v>
      </c>
      <c r="J1178">
        <v>74</v>
      </c>
      <c r="K1178">
        <f t="shared" si="54"/>
        <v>1</v>
      </c>
      <c r="L1178" s="4">
        <f t="shared" ca="1" si="55"/>
        <v>7</v>
      </c>
      <c r="M1178" t="str">
        <f t="shared" si="56"/>
        <v>Nov-2023</v>
      </c>
      <c r="N1178" t="s">
        <v>19</v>
      </c>
    </row>
    <row r="1179" spans="1:14" x14ac:dyDescent="0.25">
      <c r="A1179" t="s">
        <v>1207</v>
      </c>
      <c r="B1179" s="1">
        <v>45211</v>
      </c>
      <c r="D1179">
        <v>23</v>
      </c>
      <c r="E1179" t="s">
        <v>21</v>
      </c>
      <c r="F1179" t="s">
        <v>29</v>
      </c>
      <c r="G1179" t="s">
        <v>18</v>
      </c>
      <c r="H1179">
        <v>19975</v>
      </c>
      <c r="I1179">
        <v>25</v>
      </c>
      <c r="J1179">
        <v>65</v>
      </c>
      <c r="K1179">
        <f t="shared" si="54"/>
        <v>0</v>
      </c>
      <c r="L1179" s="4">
        <f t="shared" ca="1" si="55"/>
        <v>30</v>
      </c>
      <c r="M1179" t="str">
        <f t="shared" si="56"/>
        <v>Oct-2023</v>
      </c>
      <c r="N1179" t="s">
        <v>19</v>
      </c>
    </row>
    <row r="1180" spans="1:14" x14ac:dyDescent="0.25">
      <c r="A1180" t="s">
        <v>1208</v>
      </c>
      <c r="B1180" s="1">
        <v>45942</v>
      </c>
      <c r="C1180" s="1">
        <v>45962</v>
      </c>
      <c r="D1180">
        <v>22</v>
      </c>
      <c r="E1180" t="s">
        <v>21</v>
      </c>
      <c r="F1180" t="s">
        <v>38</v>
      </c>
      <c r="G1180" t="s">
        <v>18</v>
      </c>
      <c r="H1180">
        <v>799</v>
      </c>
      <c r="I1180">
        <v>1</v>
      </c>
      <c r="J1180">
        <v>65</v>
      </c>
      <c r="K1180">
        <f t="shared" si="54"/>
        <v>1</v>
      </c>
      <c r="L1180" s="4">
        <f t="shared" ca="1" si="55"/>
        <v>1</v>
      </c>
      <c r="M1180" t="str">
        <f t="shared" si="56"/>
        <v>Oct-2025</v>
      </c>
      <c r="N1180" t="s">
        <v>23</v>
      </c>
    </row>
    <row r="1181" spans="1:14" x14ac:dyDescent="0.25">
      <c r="A1181" t="s">
        <v>1209</v>
      </c>
      <c r="B1181" s="1">
        <v>45569</v>
      </c>
      <c r="D1181">
        <v>36</v>
      </c>
      <c r="E1181" t="s">
        <v>12</v>
      </c>
      <c r="F1181" t="s">
        <v>22</v>
      </c>
      <c r="G1181" t="s">
        <v>30</v>
      </c>
      <c r="H1181">
        <v>9737</v>
      </c>
      <c r="I1181">
        <v>13</v>
      </c>
      <c r="J1181">
        <v>86</v>
      </c>
      <c r="K1181">
        <f t="shared" si="54"/>
        <v>0</v>
      </c>
      <c r="L1181" s="4">
        <f t="shared" ca="1" si="55"/>
        <v>18</v>
      </c>
      <c r="M1181" t="str">
        <f t="shared" si="56"/>
        <v>Oct-2024</v>
      </c>
      <c r="N1181" t="s">
        <v>19</v>
      </c>
    </row>
    <row r="1182" spans="1:14" x14ac:dyDescent="0.25">
      <c r="A1182" t="s">
        <v>1210</v>
      </c>
      <c r="B1182" s="1">
        <v>45567</v>
      </c>
      <c r="D1182">
        <v>19</v>
      </c>
      <c r="E1182" t="s">
        <v>21</v>
      </c>
      <c r="F1182" t="s">
        <v>47</v>
      </c>
      <c r="G1182" t="s">
        <v>18</v>
      </c>
      <c r="H1182">
        <v>10387</v>
      </c>
      <c r="I1182">
        <v>13</v>
      </c>
      <c r="J1182">
        <v>52</v>
      </c>
      <c r="K1182">
        <f t="shared" si="54"/>
        <v>0</v>
      </c>
      <c r="L1182" s="4">
        <f t="shared" ca="1" si="55"/>
        <v>18</v>
      </c>
      <c r="M1182" t="str">
        <f t="shared" si="56"/>
        <v>Oct-2024</v>
      </c>
      <c r="N1182" t="s">
        <v>19</v>
      </c>
    </row>
    <row r="1183" spans="1:14" x14ac:dyDescent="0.25">
      <c r="A1183" t="s">
        <v>1211</v>
      </c>
      <c r="B1183" s="1">
        <v>45913</v>
      </c>
      <c r="D1183">
        <v>50</v>
      </c>
      <c r="E1183" t="s">
        <v>12</v>
      </c>
      <c r="F1183" t="s">
        <v>38</v>
      </c>
      <c r="G1183" t="s">
        <v>14</v>
      </c>
      <c r="H1183">
        <v>699</v>
      </c>
      <c r="I1183">
        <v>1</v>
      </c>
      <c r="J1183">
        <v>83</v>
      </c>
      <c r="K1183">
        <f t="shared" si="54"/>
        <v>0</v>
      </c>
      <c r="L1183" s="4">
        <f t="shared" ca="1" si="55"/>
        <v>7</v>
      </c>
      <c r="M1183" t="str">
        <f t="shared" si="56"/>
        <v>Sep-2025</v>
      </c>
      <c r="N1183" t="s">
        <v>19</v>
      </c>
    </row>
    <row r="1184" spans="1:14" x14ac:dyDescent="0.25">
      <c r="A1184" t="s">
        <v>1212</v>
      </c>
      <c r="B1184" s="1">
        <v>45524</v>
      </c>
      <c r="D1184">
        <v>53</v>
      </c>
      <c r="E1184" t="s">
        <v>12</v>
      </c>
      <c r="F1184" t="s">
        <v>17</v>
      </c>
      <c r="G1184" t="s">
        <v>30</v>
      </c>
      <c r="H1184">
        <v>10486</v>
      </c>
      <c r="I1184">
        <v>14</v>
      </c>
      <c r="J1184">
        <v>48</v>
      </c>
      <c r="K1184">
        <f t="shared" si="54"/>
        <v>0</v>
      </c>
      <c r="L1184" s="4">
        <f t="shared" ca="1" si="55"/>
        <v>20</v>
      </c>
      <c r="M1184" t="str">
        <f t="shared" si="56"/>
        <v>Aug-2024</v>
      </c>
      <c r="N1184" t="s">
        <v>23</v>
      </c>
    </row>
    <row r="1185" spans="1:14" x14ac:dyDescent="0.25">
      <c r="A1185" t="s">
        <v>1213</v>
      </c>
      <c r="B1185" s="1">
        <v>45089</v>
      </c>
      <c r="D1185">
        <v>59</v>
      </c>
      <c r="E1185" t="s">
        <v>15</v>
      </c>
      <c r="F1185" t="s">
        <v>17</v>
      </c>
      <c r="G1185" t="s">
        <v>18</v>
      </c>
      <c r="H1185">
        <v>23171</v>
      </c>
      <c r="I1185">
        <v>29</v>
      </c>
      <c r="J1185">
        <v>44</v>
      </c>
      <c r="K1185">
        <f t="shared" si="54"/>
        <v>0</v>
      </c>
      <c r="L1185" s="4">
        <f t="shared" ca="1" si="55"/>
        <v>34</v>
      </c>
      <c r="M1185" t="str">
        <f t="shared" si="56"/>
        <v>Jun-2023</v>
      </c>
      <c r="N1185" t="s">
        <v>15</v>
      </c>
    </row>
    <row r="1186" spans="1:14" x14ac:dyDescent="0.25">
      <c r="A1186" t="s">
        <v>1214</v>
      </c>
      <c r="B1186" s="1">
        <v>44985</v>
      </c>
      <c r="D1186">
        <v>52</v>
      </c>
      <c r="E1186" t="s">
        <v>21</v>
      </c>
      <c r="F1186" t="s">
        <v>27</v>
      </c>
      <c r="G1186" t="s">
        <v>18</v>
      </c>
      <c r="H1186">
        <v>25568</v>
      </c>
      <c r="I1186">
        <v>32</v>
      </c>
      <c r="J1186">
        <v>30</v>
      </c>
      <c r="K1186">
        <f t="shared" si="54"/>
        <v>0</v>
      </c>
      <c r="L1186" s="4">
        <f t="shared" ca="1" si="55"/>
        <v>38</v>
      </c>
      <c r="M1186" t="str">
        <f t="shared" si="56"/>
        <v>Feb-2023</v>
      </c>
      <c r="N1186" t="s">
        <v>23</v>
      </c>
    </row>
    <row r="1187" spans="1:14" x14ac:dyDescent="0.25">
      <c r="A1187" t="s">
        <v>1215</v>
      </c>
      <c r="B1187" s="1">
        <v>45345</v>
      </c>
      <c r="C1187" s="1">
        <v>45645</v>
      </c>
      <c r="D1187">
        <v>40</v>
      </c>
      <c r="E1187" t="s">
        <v>12</v>
      </c>
      <c r="F1187" t="s">
        <v>38</v>
      </c>
      <c r="G1187" t="s">
        <v>18</v>
      </c>
      <c r="H1187">
        <v>7990</v>
      </c>
      <c r="I1187">
        <v>10</v>
      </c>
      <c r="J1187">
        <v>53</v>
      </c>
      <c r="K1187">
        <f t="shared" si="54"/>
        <v>1</v>
      </c>
      <c r="L1187" s="4">
        <f t="shared" ca="1" si="55"/>
        <v>10</v>
      </c>
      <c r="M1187" t="str">
        <f t="shared" si="56"/>
        <v>Feb-2024</v>
      </c>
      <c r="N1187" t="s">
        <v>19</v>
      </c>
    </row>
    <row r="1188" spans="1:14" x14ac:dyDescent="0.25">
      <c r="A1188" t="s">
        <v>1216</v>
      </c>
      <c r="B1188" s="1">
        <v>45393</v>
      </c>
      <c r="D1188">
        <v>26</v>
      </c>
      <c r="E1188" t="s">
        <v>21</v>
      </c>
      <c r="F1188" t="s">
        <v>27</v>
      </c>
      <c r="G1188" t="s">
        <v>18</v>
      </c>
      <c r="H1188">
        <v>14382</v>
      </c>
      <c r="I1188">
        <v>18</v>
      </c>
      <c r="J1188">
        <v>82</v>
      </c>
      <c r="K1188">
        <f t="shared" si="54"/>
        <v>0</v>
      </c>
      <c r="L1188" s="4">
        <f t="shared" ca="1" si="55"/>
        <v>24</v>
      </c>
      <c r="M1188" t="str">
        <f t="shared" si="56"/>
        <v>Apr-2024</v>
      </c>
      <c r="N1188" t="s">
        <v>19</v>
      </c>
    </row>
    <row r="1189" spans="1:14" x14ac:dyDescent="0.25">
      <c r="A1189" t="s">
        <v>1217</v>
      </c>
      <c r="B1189" s="1">
        <v>45351</v>
      </c>
      <c r="D1189">
        <v>46</v>
      </c>
      <c r="E1189" t="s">
        <v>12</v>
      </c>
      <c r="F1189" t="s">
        <v>29</v>
      </c>
      <c r="G1189" t="s">
        <v>30</v>
      </c>
      <c r="H1189">
        <v>14980</v>
      </c>
      <c r="I1189">
        <v>20</v>
      </c>
      <c r="J1189">
        <v>70</v>
      </c>
      <c r="K1189">
        <f t="shared" si="54"/>
        <v>0</v>
      </c>
      <c r="L1189" s="4">
        <f t="shared" ca="1" si="55"/>
        <v>25</v>
      </c>
      <c r="M1189" t="str">
        <f t="shared" si="56"/>
        <v>Feb-2024</v>
      </c>
      <c r="N1189" t="s">
        <v>19</v>
      </c>
    </row>
    <row r="1190" spans="1:14" x14ac:dyDescent="0.25">
      <c r="A1190" t="s">
        <v>1218</v>
      </c>
      <c r="B1190" s="1">
        <v>45471</v>
      </c>
      <c r="D1190">
        <v>30</v>
      </c>
      <c r="E1190" t="s">
        <v>21</v>
      </c>
      <c r="F1190" t="s">
        <v>17</v>
      </c>
      <c r="G1190" t="s">
        <v>30</v>
      </c>
      <c r="H1190">
        <v>11984</v>
      </c>
      <c r="I1190">
        <v>16</v>
      </c>
      <c r="J1190">
        <v>71</v>
      </c>
      <c r="K1190">
        <f t="shared" si="54"/>
        <v>0</v>
      </c>
      <c r="L1190" s="4">
        <f t="shared" ca="1" si="55"/>
        <v>21</v>
      </c>
      <c r="M1190" t="str">
        <f t="shared" si="56"/>
        <v>Jun-2024</v>
      </c>
      <c r="N1190" t="s">
        <v>19</v>
      </c>
    </row>
    <row r="1191" spans="1:14" x14ac:dyDescent="0.25">
      <c r="A1191" t="s">
        <v>1219</v>
      </c>
      <c r="B1191" s="1">
        <v>45340</v>
      </c>
      <c r="D1191">
        <v>23</v>
      </c>
      <c r="E1191" t="s">
        <v>12</v>
      </c>
      <c r="F1191" t="s">
        <v>27</v>
      </c>
      <c r="G1191" t="s">
        <v>18</v>
      </c>
      <c r="H1191">
        <v>15980</v>
      </c>
      <c r="I1191">
        <v>20</v>
      </c>
      <c r="J1191">
        <v>79</v>
      </c>
      <c r="K1191">
        <f t="shared" si="54"/>
        <v>0</v>
      </c>
      <c r="L1191" s="4">
        <f t="shared" ca="1" si="55"/>
        <v>26</v>
      </c>
      <c r="M1191" t="str">
        <f t="shared" si="56"/>
        <v>Feb-2024</v>
      </c>
      <c r="N1191" t="s">
        <v>23</v>
      </c>
    </row>
    <row r="1192" spans="1:14" x14ac:dyDescent="0.25">
      <c r="A1192" t="s">
        <v>1220</v>
      </c>
      <c r="B1192" s="1">
        <v>45368</v>
      </c>
      <c r="C1192" s="1">
        <v>45668</v>
      </c>
      <c r="D1192">
        <v>35</v>
      </c>
      <c r="E1192" t="s">
        <v>12</v>
      </c>
      <c r="F1192" t="s">
        <v>57</v>
      </c>
      <c r="G1192" t="s">
        <v>30</v>
      </c>
      <c r="H1192">
        <v>7490</v>
      </c>
      <c r="I1192">
        <v>10</v>
      </c>
      <c r="J1192">
        <v>11</v>
      </c>
      <c r="K1192">
        <f t="shared" si="54"/>
        <v>1</v>
      </c>
      <c r="L1192" s="4">
        <f t="shared" ca="1" si="55"/>
        <v>10</v>
      </c>
      <c r="M1192" t="str">
        <f t="shared" si="56"/>
        <v>Mar-2024</v>
      </c>
      <c r="N1192" t="s">
        <v>25</v>
      </c>
    </row>
    <row r="1193" spans="1:14" x14ac:dyDescent="0.25">
      <c r="A1193" t="s">
        <v>1221</v>
      </c>
      <c r="B1193" s="1">
        <v>45413</v>
      </c>
      <c r="D1193">
        <v>25</v>
      </c>
      <c r="E1193" t="s">
        <v>21</v>
      </c>
      <c r="F1193" t="s">
        <v>13</v>
      </c>
      <c r="G1193" t="s">
        <v>14</v>
      </c>
      <c r="H1193">
        <v>12582</v>
      </c>
      <c r="I1193">
        <v>18</v>
      </c>
      <c r="J1193">
        <v>48</v>
      </c>
      <c r="K1193">
        <f t="shared" si="54"/>
        <v>0</v>
      </c>
      <c r="L1193" s="4">
        <f t="shared" ca="1" si="55"/>
        <v>23</v>
      </c>
      <c r="M1193" t="str">
        <f t="shared" si="56"/>
        <v>May-2024</v>
      </c>
      <c r="N1193" t="s">
        <v>19</v>
      </c>
    </row>
    <row r="1194" spans="1:14" x14ac:dyDescent="0.25">
      <c r="A1194" t="s">
        <v>1222</v>
      </c>
      <c r="B1194" s="1">
        <v>45703</v>
      </c>
      <c r="C1194" s="1">
        <v>45763</v>
      </c>
      <c r="D1194">
        <v>57</v>
      </c>
      <c r="E1194" t="s">
        <v>21</v>
      </c>
      <c r="F1194" t="s">
        <v>57</v>
      </c>
      <c r="G1194" t="s">
        <v>30</v>
      </c>
      <c r="H1194">
        <v>1498</v>
      </c>
      <c r="I1194">
        <v>2</v>
      </c>
      <c r="J1194">
        <v>38</v>
      </c>
      <c r="K1194">
        <f t="shared" si="54"/>
        <v>1</v>
      </c>
      <c r="L1194" s="4">
        <f t="shared" ca="1" si="55"/>
        <v>2</v>
      </c>
      <c r="M1194" t="str">
        <f t="shared" si="56"/>
        <v>Feb-2025</v>
      </c>
      <c r="N1194" t="s">
        <v>19</v>
      </c>
    </row>
    <row r="1195" spans="1:14" x14ac:dyDescent="0.25">
      <c r="A1195" t="s">
        <v>1223</v>
      </c>
      <c r="B1195" s="1">
        <v>45893</v>
      </c>
      <c r="C1195" s="1">
        <v>45953</v>
      </c>
      <c r="D1195">
        <v>57</v>
      </c>
      <c r="E1195" t="s">
        <v>12</v>
      </c>
      <c r="F1195" t="s">
        <v>13</v>
      </c>
      <c r="G1195" t="s">
        <v>18</v>
      </c>
      <c r="H1195">
        <v>1598</v>
      </c>
      <c r="I1195">
        <v>2</v>
      </c>
      <c r="J1195">
        <v>9</v>
      </c>
      <c r="K1195">
        <f t="shared" si="54"/>
        <v>1</v>
      </c>
      <c r="L1195" s="4">
        <f t="shared" ca="1" si="55"/>
        <v>2</v>
      </c>
      <c r="M1195" t="str">
        <f t="shared" si="56"/>
        <v>Aug-2025</v>
      </c>
      <c r="N1195" t="s">
        <v>23</v>
      </c>
    </row>
    <row r="1196" spans="1:14" x14ac:dyDescent="0.25">
      <c r="A1196" t="s">
        <v>1224</v>
      </c>
      <c r="B1196" s="1">
        <v>45348</v>
      </c>
      <c r="D1196">
        <v>43</v>
      </c>
      <c r="E1196" t="s">
        <v>12</v>
      </c>
      <c r="F1196" t="s">
        <v>32</v>
      </c>
      <c r="G1196" t="s">
        <v>18</v>
      </c>
      <c r="H1196">
        <v>15980</v>
      </c>
      <c r="I1196">
        <v>20</v>
      </c>
      <c r="J1196">
        <v>54</v>
      </c>
      <c r="K1196">
        <f t="shared" si="54"/>
        <v>0</v>
      </c>
      <c r="L1196" s="4">
        <f t="shared" ca="1" si="55"/>
        <v>25</v>
      </c>
      <c r="M1196" t="str">
        <f t="shared" si="56"/>
        <v>Feb-2024</v>
      </c>
      <c r="N1196" t="s">
        <v>19</v>
      </c>
    </row>
    <row r="1197" spans="1:14" x14ac:dyDescent="0.25">
      <c r="A1197" t="s">
        <v>1225</v>
      </c>
      <c r="B1197" s="1">
        <v>45175</v>
      </c>
      <c r="D1197">
        <v>53</v>
      </c>
      <c r="E1197" t="s">
        <v>12</v>
      </c>
      <c r="F1197" t="s">
        <v>47</v>
      </c>
      <c r="G1197" t="s">
        <v>30</v>
      </c>
      <c r="H1197">
        <v>19474</v>
      </c>
      <c r="I1197">
        <v>26</v>
      </c>
      <c r="J1197">
        <v>57</v>
      </c>
      <c r="K1197">
        <f t="shared" si="54"/>
        <v>0</v>
      </c>
      <c r="L1197" s="4">
        <f t="shared" ca="1" si="55"/>
        <v>31</v>
      </c>
      <c r="M1197" t="str">
        <f t="shared" si="56"/>
        <v>Sep-2023</v>
      </c>
      <c r="N1197" t="s">
        <v>23</v>
      </c>
    </row>
    <row r="1198" spans="1:14" x14ac:dyDescent="0.25">
      <c r="A1198" t="s">
        <v>1226</v>
      </c>
      <c r="B1198" s="1">
        <v>45271</v>
      </c>
      <c r="D1198">
        <v>60</v>
      </c>
      <c r="E1198" t="s">
        <v>12</v>
      </c>
      <c r="F1198" t="s">
        <v>22</v>
      </c>
      <c r="G1198" t="s">
        <v>30</v>
      </c>
      <c r="H1198">
        <v>17227</v>
      </c>
      <c r="I1198">
        <v>23</v>
      </c>
      <c r="J1198">
        <v>73</v>
      </c>
      <c r="K1198">
        <f t="shared" si="54"/>
        <v>0</v>
      </c>
      <c r="L1198" s="4">
        <f t="shared" ca="1" si="55"/>
        <v>28</v>
      </c>
      <c r="M1198" t="str">
        <f t="shared" si="56"/>
        <v>Dec-2023</v>
      </c>
      <c r="N1198" t="s">
        <v>19</v>
      </c>
    </row>
    <row r="1199" spans="1:14" x14ac:dyDescent="0.25">
      <c r="A1199" t="s">
        <v>1227</v>
      </c>
      <c r="B1199" s="1">
        <v>45767</v>
      </c>
      <c r="D1199">
        <v>21</v>
      </c>
      <c r="E1199" t="s">
        <v>21</v>
      </c>
      <c r="F1199" t="s">
        <v>27</v>
      </c>
      <c r="G1199" t="s">
        <v>18</v>
      </c>
      <c r="H1199">
        <v>4794</v>
      </c>
      <c r="I1199">
        <v>6</v>
      </c>
      <c r="J1199">
        <v>44</v>
      </c>
      <c r="K1199">
        <f t="shared" si="54"/>
        <v>0</v>
      </c>
      <c r="L1199" s="4">
        <f t="shared" ca="1" si="55"/>
        <v>11</v>
      </c>
      <c r="M1199" t="str">
        <f t="shared" si="56"/>
        <v>Apr-2025</v>
      </c>
      <c r="N1199" t="s">
        <v>15</v>
      </c>
    </row>
    <row r="1200" spans="1:14" x14ac:dyDescent="0.25">
      <c r="A1200" t="s">
        <v>1228</v>
      </c>
      <c r="B1200" s="1">
        <v>45193</v>
      </c>
      <c r="D1200">
        <v>47</v>
      </c>
      <c r="E1200" t="s">
        <v>21</v>
      </c>
      <c r="F1200" t="s">
        <v>22</v>
      </c>
      <c r="G1200" t="s">
        <v>18</v>
      </c>
      <c r="H1200">
        <v>19975</v>
      </c>
      <c r="I1200">
        <v>25</v>
      </c>
      <c r="J1200">
        <v>93</v>
      </c>
      <c r="K1200">
        <f t="shared" si="54"/>
        <v>0</v>
      </c>
      <c r="L1200" s="4">
        <f t="shared" ca="1" si="55"/>
        <v>31</v>
      </c>
      <c r="M1200" t="str">
        <f t="shared" si="56"/>
        <v>Sep-2023</v>
      </c>
      <c r="N1200" t="s">
        <v>19</v>
      </c>
    </row>
    <row r="1201" spans="1:14" x14ac:dyDescent="0.25">
      <c r="A1201" t="s">
        <v>1229</v>
      </c>
      <c r="B1201" s="1">
        <v>44974</v>
      </c>
      <c r="D1201">
        <v>19</v>
      </c>
      <c r="E1201" t="s">
        <v>21</v>
      </c>
      <c r="F1201" t="s">
        <v>22</v>
      </c>
      <c r="G1201" t="s">
        <v>18</v>
      </c>
      <c r="H1201">
        <v>25568</v>
      </c>
      <c r="I1201">
        <v>32</v>
      </c>
      <c r="J1201">
        <v>47</v>
      </c>
      <c r="K1201">
        <f t="shared" si="54"/>
        <v>0</v>
      </c>
      <c r="L1201" s="4">
        <f t="shared" ca="1" si="55"/>
        <v>38</v>
      </c>
      <c r="M1201" t="str">
        <f t="shared" si="56"/>
        <v>Feb-2023</v>
      </c>
      <c r="N120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boxify_customers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</dc:creator>
  <cp:lastModifiedBy>Himanshu</cp:lastModifiedBy>
  <dcterms:created xsi:type="dcterms:W3CDTF">2026-03-16T08:45:52Z</dcterms:created>
  <dcterms:modified xsi:type="dcterms:W3CDTF">2026-03-16T08:45:52Z</dcterms:modified>
</cp:coreProperties>
</file>